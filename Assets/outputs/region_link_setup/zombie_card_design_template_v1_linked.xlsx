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ter\Desktop\GameDev\Zombie_cardSurvive\Assets\outputs\region_link_setup\"/>
    </mc:Choice>
  </mc:AlternateContent>
  <xr:revisionPtr revIDLastSave="0" documentId="8_{33F1DA29-9810-4692-B70D-45661EE3899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w to Discuss" sheetId="1" r:id="rId1"/>
    <sheet name="Card Design" sheetId="2" r:id="rId2"/>
    <sheet name="Event Schedule" sheetId="7" r:id="rId3"/>
    <sheet name="Region Design" sheetId="8" r:id="rId4"/>
    <sheet name="Region CardPack Design" sheetId="10" r:id="rId5"/>
    <sheet name="Balance Baseline" sheetId="3" r:id="rId6"/>
    <sheet name="Effect Dictionary" sheetId="4" r:id="rId7"/>
    <sheet name="Sources and Packs" sheetId="5" r:id="rId8"/>
    <sheet name="Card Packs" sheetId="6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0" l="1"/>
  <c r="K100" i="10"/>
  <c r="J100" i="10"/>
  <c r="H100" i="10"/>
  <c r="B100" i="10"/>
  <c r="K99" i="10"/>
  <c r="J99" i="10"/>
  <c r="H99" i="10"/>
  <c r="B99" i="10"/>
  <c r="K98" i="10"/>
  <c r="J98" i="10"/>
  <c r="H98" i="10"/>
  <c r="B98" i="10"/>
  <c r="K97" i="10"/>
  <c r="J97" i="10"/>
  <c r="H97" i="10"/>
  <c r="B97" i="10"/>
  <c r="K96" i="10"/>
  <c r="J96" i="10"/>
  <c r="H96" i="10"/>
  <c r="B96" i="10"/>
  <c r="K95" i="10"/>
  <c r="J95" i="10"/>
  <c r="H95" i="10"/>
  <c r="B95" i="10"/>
  <c r="K94" i="10"/>
  <c r="J94" i="10"/>
  <c r="H94" i="10"/>
  <c r="B94" i="10"/>
  <c r="K93" i="10"/>
  <c r="J93" i="10"/>
  <c r="H93" i="10"/>
  <c r="B93" i="10"/>
  <c r="K92" i="10"/>
  <c r="J92" i="10"/>
  <c r="H92" i="10"/>
  <c r="B92" i="10"/>
  <c r="K91" i="10"/>
  <c r="J91" i="10"/>
  <c r="H91" i="10"/>
  <c r="B91" i="10"/>
  <c r="K90" i="10"/>
  <c r="J90" i="10"/>
  <c r="H90" i="10"/>
  <c r="B90" i="10"/>
  <c r="K89" i="10"/>
  <c r="J89" i="10"/>
  <c r="H89" i="10"/>
  <c r="B89" i="10"/>
  <c r="K88" i="10"/>
  <c r="J88" i="10"/>
  <c r="H88" i="10"/>
  <c r="B88" i="10"/>
  <c r="K87" i="10"/>
  <c r="J87" i="10"/>
  <c r="H87" i="10"/>
  <c r="B87" i="10"/>
  <c r="K86" i="10"/>
  <c r="J86" i="10"/>
  <c r="H86" i="10"/>
  <c r="B86" i="10"/>
  <c r="K85" i="10"/>
  <c r="J85" i="10"/>
  <c r="H85" i="10"/>
  <c r="B85" i="10"/>
  <c r="K84" i="10"/>
  <c r="J84" i="10"/>
  <c r="H84" i="10"/>
  <c r="B84" i="10"/>
  <c r="K83" i="10"/>
  <c r="J83" i="10"/>
  <c r="H83" i="10"/>
  <c r="B83" i="10"/>
  <c r="K82" i="10"/>
  <c r="J82" i="10"/>
  <c r="H82" i="10"/>
  <c r="B82" i="10"/>
  <c r="K81" i="10"/>
  <c r="J81" i="10"/>
  <c r="H81" i="10"/>
  <c r="B81" i="10"/>
  <c r="K80" i="10"/>
  <c r="J80" i="10"/>
  <c r="H80" i="10"/>
  <c r="B80" i="10"/>
  <c r="K79" i="10"/>
  <c r="J79" i="10"/>
  <c r="H79" i="10"/>
  <c r="B79" i="10"/>
  <c r="K78" i="10"/>
  <c r="J78" i="10"/>
  <c r="H78" i="10"/>
  <c r="B78" i="10"/>
  <c r="K77" i="10"/>
  <c r="J77" i="10"/>
  <c r="H77" i="10"/>
  <c r="B77" i="10"/>
  <c r="K76" i="10"/>
  <c r="J76" i="10"/>
  <c r="H76" i="10"/>
  <c r="B76" i="10"/>
  <c r="K75" i="10"/>
  <c r="J75" i="10"/>
  <c r="H75" i="10"/>
  <c r="B75" i="10"/>
  <c r="K74" i="10"/>
  <c r="J74" i="10"/>
  <c r="H74" i="10"/>
  <c r="B74" i="10"/>
  <c r="K73" i="10"/>
  <c r="J73" i="10"/>
  <c r="H73" i="10"/>
  <c r="B73" i="10"/>
  <c r="K72" i="10"/>
  <c r="J72" i="10"/>
  <c r="H72" i="10"/>
  <c r="B72" i="10"/>
  <c r="K71" i="10"/>
  <c r="J71" i="10"/>
  <c r="H71" i="10"/>
  <c r="B71" i="10"/>
  <c r="K70" i="10"/>
  <c r="J70" i="10"/>
  <c r="H70" i="10"/>
  <c r="B70" i="10"/>
  <c r="K69" i="10"/>
  <c r="J69" i="10"/>
  <c r="H69" i="10"/>
  <c r="B69" i="10"/>
  <c r="K68" i="10"/>
  <c r="J68" i="10"/>
  <c r="H68" i="10"/>
  <c r="B68" i="10"/>
  <c r="K67" i="10"/>
  <c r="J67" i="10"/>
  <c r="H67" i="10"/>
  <c r="B67" i="10"/>
  <c r="K66" i="10"/>
  <c r="J66" i="10"/>
  <c r="H66" i="10"/>
  <c r="B66" i="10"/>
  <c r="K65" i="10"/>
  <c r="J65" i="10"/>
  <c r="H65" i="10"/>
  <c r="B65" i="10"/>
  <c r="K64" i="10"/>
  <c r="J64" i="10"/>
  <c r="H64" i="10"/>
  <c r="B64" i="10"/>
  <c r="K63" i="10"/>
  <c r="J63" i="10"/>
  <c r="H63" i="10"/>
  <c r="B63" i="10"/>
  <c r="K62" i="10"/>
  <c r="J62" i="10"/>
  <c r="H62" i="10"/>
  <c r="B62" i="10"/>
  <c r="K61" i="10"/>
  <c r="J61" i="10"/>
  <c r="H61" i="10"/>
  <c r="B61" i="10"/>
  <c r="K60" i="10"/>
  <c r="J60" i="10"/>
  <c r="H60" i="10"/>
  <c r="B60" i="10"/>
  <c r="K59" i="10"/>
  <c r="J59" i="10"/>
  <c r="H59" i="10"/>
  <c r="B59" i="10"/>
  <c r="K58" i="10"/>
  <c r="J58" i="10"/>
  <c r="H58" i="10"/>
  <c r="B58" i="10"/>
  <c r="K57" i="10"/>
  <c r="J57" i="10"/>
  <c r="H57" i="10"/>
  <c r="B57" i="10"/>
  <c r="K56" i="10"/>
  <c r="J56" i="10"/>
  <c r="H56" i="10"/>
  <c r="B56" i="10"/>
  <c r="K55" i="10"/>
  <c r="J55" i="10"/>
  <c r="H55" i="10"/>
  <c r="B55" i="10"/>
  <c r="K54" i="10"/>
  <c r="J54" i="10"/>
  <c r="H54" i="10"/>
  <c r="B54" i="10"/>
  <c r="K53" i="10"/>
  <c r="J53" i="10"/>
  <c r="H53" i="10"/>
  <c r="B53" i="10"/>
  <c r="K52" i="10"/>
  <c r="J52" i="10"/>
  <c r="H52" i="10"/>
  <c r="B52" i="10"/>
  <c r="K51" i="10"/>
  <c r="J51" i="10"/>
  <c r="H51" i="10"/>
  <c r="B51" i="10"/>
  <c r="K50" i="10"/>
  <c r="J50" i="10"/>
  <c r="H50" i="10"/>
  <c r="B50" i="10"/>
  <c r="K49" i="10"/>
  <c r="J49" i="10"/>
  <c r="H49" i="10"/>
  <c r="B49" i="10"/>
  <c r="K48" i="10"/>
  <c r="J48" i="10"/>
  <c r="H48" i="10"/>
  <c r="B48" i="10"/>
  <c r="K47" i="10"/>
  <c r="J47" i="10"/>
  <c r="H47" i="10"/>
  <c r="B47" i="10"/>
  <c r="K46" i="10"/>
  <c r="J46" i="10"/>
  <c r="H46" i="10"/>
  <c r="B46" i="10"/>
  <c r="K45" i="10"/>
  <c r="J45" i="10"/>
  <c r="H45" i="10"/>
  <c r="B45" i="10"/>
  <c r="K44" i="10"/>
  <c r="J44" i="10"/>
  <c r="H44" i="10"/>
  <c r="B44" i="10"/>
  <c r="K43" i="10"/>
  <c r="J43" i="10"/>
  <c r="H43" i="10"/>
  <c r="B43" i="10"/>
  <c r="K42" i="10"/>
  <c r="J42" i="10"/>
  <c r="H42" i="10"/>
  <c r="B42" i="10"/>
  <c r="K41" i="10"/>
  <c r="J41" i="10"/>
  <c r="H41" i="10"/>
  <c r="B41" i="10"/>
  <c r="K40" i="10"/>
  <c r="J40" i="10"/>
  <c r="H40" i="10"/>
  <c r="B40" i="10"/>
  <c r="K39" i="10"/>
  <c r="J39" i="10"/>
  <c r="H39" i="10"/>
  <c r="B39" i="10"/>
  <c r="K38" i="10"/>
  <c r="J38" i="10"/>
  <c r="H38" i="10"/>
  <c r="B38" i="10"/>
  <c r="K37" i="10"/>
  <c r="J37" i="10"/>
  <c r="H37" i="10"/>
  <c r="B37" i="10"/>
  <c r="K36" i="10"/>
  <c r="J36" i="10"/>
  <c r="H36" i="10"/>
  <c r="B36" i="10"/>
  <c r="K35" i="10"/>
  <c r="J35" i="10"/>
  <c r="H35" i="10"/>
  <c r="B35" i="10"/>
  <c r="K34" i="10"/>
  <c r="J34" i="10"/>
  <c r="H34" i="10"/>
  <c r="B34" i="10"/>
  <c r="K33" i="10"/>
  <c r="J33" i="10"/>
  <c r="H33" i="10"/>
  <c r="B33" i="10"/>
  <c r="K32" i="10"/>
  <c r="J32" i="10"/>
  <c r="H32" i="10"/>
  <c r="B32" i="10"/>
  <c r="K31" i="10"/>
  <c r="J31" i="10"/>
  <c r="H31" i="10"/>
  <c r="B31" i="10"/>
  <c r="K30" i="10"/>
  <c r="J30" i="10"/>
  <c r="H30" i="10"/>
  <c r="B30" i="10"/>
  <c r="K29" i="10"/>
  <c r="J29" i="10"/>
  <c r="H29" i="10"/>
  <c r="B29" i="10"/>
  <c r="K28" i="10"/>
  <c r="J28" i="10"/>
  <c r="H28" i="10"/>
  <c r="B28" i="10"/>
  <c r="K27" i="10"/>
  <c r="J27" i="10"/>
  <c r="H27" i="10"/>
  <c r="B27" i="10"/>
  <c r="K26" i="10"/>
  <c r="J26" i="10"/>
  <c r="H26" i="10"/>
  <c r="B26" i="10"/>
  <c r="K25" i="10"/>
  <c r="J25" i="10"/>
  <c r="H25" i="10"/>
  <c r="B25" i="10"/>
  <c r="K24" i="10"/>
  <c r="J24" i="10"/>
  <c r="H24" i="10"/>
  <c r="B24" i="10"/>
  <c r="K23" i="10"/>
  <c r="J23" i="10"/>
  <c r="H23" i="10"/>
  <c r="B23" i="10"/>
  <c r="K22" i="10"/>
  <c r="J22" i="10"/>
  <c r="H22" i="10"/>
  <c r="B22" i="10"/>
  <c r="K21" i="10"/>
  <c r="J21" i="10"/>
  <c r="H21" i="10"/>
  <c r="B21" i="10"/>
  <c r="K20" i="10"/>
  <c r="J20" i="10"/>
  <c r="H20" i="10"/>
  <c r="B20" i="10"/>
  <c r="K19" i="10"/>
  <c r="J19" i="10"/>
  <c r="H19" i="10"/>
  <c r="B19" i="10"/>
  <c r="J18" i="10"/>
  <c r="K18" i="10" s="1"/>
  <c r="H18" i="10"/>
  <c r="B18" i="10"/>
  <c r="J17" i="10"/>
  <c r="K17" i="10" s="1"/>
  <c r="H17" i="10"/>
  <c r="J16" i="10"/>
  <c r="K16" i="10" s="1"/>
  <c r="H16" i="10"/>
  <c r="K15" i="10"/>
  <c r="J15" i="10"/>
  <c r="H15" i="10"/>
  <c r="K14" i="10"/>
  <c r="J14" i="10"/>
  <c r="H14" i="10"/>
  <c r="B14" i="10"/>
  <c r="K13" i="10"/>
  <c r="J13" i="10"/>
  <c r="H13" i="10"/>
  <c r="K12" i="10"/>
  <c r="J12" i="10"/>
  <c r="H12" i="10"/>
  <c r="K11" i="10"/>
  <c r="J11" i="10"/>
  <c r="H11" i="10"/>
  <c r="B11" i="10"/>
  <c r="K10" i="10"/>
  <c r="J10" i="10"/>
  <c r="H10" i="10"/>
  <c r="K9" i="10"/>
  <c r="J9" i="10"/>
  <c r="H9" i="10"/>
  <c r="K8" i="10"/>
  <c r="J8" i="10"/>
  <c r="H8" i="10"/>
  <c r="B8" i="10"/>
  <c r="K7" i="10"/>
  <c r="J7" i="10"/>
  <c r="H7" i="10"/>
  <c r="B7" i="10"/>
  <c r="K6" i="10"/>
  <c r="J6" i="10"/>
  <c r="H6" i="10"/>
  <c r="K5" i="10"/>
  <c r="J5" i="10"/>
  <c r="H5" i="10"/>
  <c r="B5" i="10"/>
  <c r="B12" i="10" s="1"/>
  <c r="K4" i="10"/>
  <c r="J4" i="10"/>
  <c r="H4" i="10"/>
  <c r="B4" i="10"/>
  <c r="B17" i="10" s="1"/>
  <c r="K3" i="10"/>
  <c r="J3" i="10"/>
  <c r="H3" i="10"/>
  <c r="B3" i="10"/>
  <c r="B15" i="10" s="1"/>
  <c r="K2" i="10"/>
  <c r="J2" i="10"/>
  <c r="H2" i="10"/>
  <c r="B2" i="10"/>
  <c r="B6" i="10" s="1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B9" i="10" l="1"/>
  <c r="B10" i="10"/>
  <c r="B13" i="10"/>
</calcChain>
</file>

<file path=xl/sharedStrings.xml><?xml version="1.0" encoding="utf-8"?>
<sst xmlns="http://schemas.openxmlformats.org/spreadsheetml/2006/main" count="1231" uniqueCount="654">
  <si>
    <t>Zombie Card Survive - 第一版卡牌設計討論基板</t>
  </si>
  <si>
    <t>你可以直接在 Discord / Codex 用這個格式丟給我，或填 Card Design 表後叫我一起檢查。</t>
  </si>
  <si>
    <t>聊天討論格式</t>
  </si>
  <si>
    <t>第一批卡牌建議數量</t>
  </si>
  <si>
    <t>建議張數</t>
  </si>
  <si>
    <t>用途</t>
  </si>
  <si>
    <t>目前優先度</t>
  </si>
  <si>
    <t>備註</t>
  </si>
  <si>
    <t>卡名</t>
  </si>
  <si>
    <t>例如：烹飪</t>
  </si>
  <si>
    <t>食物卡</t>
  </si>
  <si>
    <t>4-6</t>
  </si>
  <si>
    <t>處理輪末消耗與成本</t>
  </si>
  <si>
    <t>高</t>
  </si>
  <si>
    <t>先做標準卡與一張轉換卡</t>
  </si>
  <si>
    <t>類型</t>
  </si>
  <si>
    <t>Food / Resource / Combat / Explore / Build / Craft / Planning / Zombie</t>
  </si>
  <si>
    <t>資源卡</t>
  </si>
  <si>
    <t>推建築、製作與事件選項</t>
  </si>
  <si>
    <t>避免只有單純 +2 資源</t>
  </si>
  <si>
    <t>定位</t>
  </si>
  <si>
    <t>這張卡希望玩家解決什麼問題？</t>
  </si>
  <si>
    <t>戰鬥卡</t>
  </si>
  <si>
    <t>3-4</t>
  </si>
  <si>
    <t>處理殭屍威脅</t>
  </si>
  <si>
    <t>防禦工事可強化核心戰鬥卡</t>
  </si>
  <si>
    <t>成本</t>
  </si>
  <si>
    <t>能量、食物、資源、使用次數</t>
  </si>
  <si>
    <t>探索卡</t>
  </si>
  <si>
    <t>1-2</t>
  </si>
  <si>
    <t>取得卡包與承擔風險</t>
  </si>
  <si>
    <t>基礎探索卡先可製作</t>
  </si>
  <si>
    <t>效果</t>
  </si>
  <si>
    <t>請盡量寫成數值，例如：食物 -2，臨時食物 +6</t>
  </si>
  <si>
    <t>規劃/替換卡</t>
  </si>
  <si>
    <t>調整正規牌組</t>
  </si>
  <si>
    <t>中</t>
  </si>
  <si>
    <t>情報中心相關</t>
  </si>
  <si>
    <t>來源</t>
  </si>
  <si>
    <t>起始牌組、建築製作、事件、探索卡包</t>
  </si>
  <si>
    <t>製作產物卡</t>
  </si>
  <si>
    <t>2-3</t>
  </si>
  <si>
    <t>建築產出的功能卡</t>
  </si>
  <si>
    <t>例如烹飪</t>
  </si>
  <si>
    <t>玩家選擇</t>
  </si>
  <si>
    <t>玩家打出這張卡時應該在取捨什麼？</t>
  </si>
  <si>
    <t>殭屍卡</t>
  </si>
  <si>
    <t>附加壓力</t>
  </si>
  <si>
    <t>先測自動觸發與補抽</t>
  </si>
  <si>
    <t>擔心問題</t>
  </si>
  <si>
    <t>太強、太弱、太萬用、太難懂、和其他卡重複</t>
  </si>
  <si>
    <t>事件獎勵卡</t>
  </si>
  <si>
    <t>2-4</t>
  </si>
  <si>
    <t>事件或卡包特殊獎勵</t>
  </si>
  <si>
    <t>低</t>
  </si>
  <si>
    <t>等核心卡穩定再擴充</t>
  </si>
  <si>
    <t>任何設計直覺都可以放這裡</t>
  </si>
  <si>
    <t xml:space="preserve"> </t>
  </si>
  <si>
    <t>卡牌設計表：先填意圖，再填數值，最後再做平衡</t>
  </si>
  <si>
    <t>黃色欄位建議先填；數值欄位可空白。Rough Score 是粗略抓異常用，不是最終平衡判斷。</t>
  </si>
  <si>
    <t>Card ID</t>
  </si>
  <si>
    <t>狀態</t>
  </si>
  <si>
    <t>卡牌類型</t>
  </si>
  <si>
    <t>正規欄位</t>
  </si>
  <si>
    <t>階段</t>
  </si>
  <si>
    <t>稀有度</t>
  </si>
  <si>
    <t>取得來源</t>
  </si>
  <si>
    <t>能量</t>
  </si>
  <si>
    <t>使用次數</t>
  </si>
  <si>
    <t>食物成本</t>
  </si>
  <si>
    <t>資源成本</t>
  </si>
  <si>
    <t>獲得食物</t>
  </si>
  <si>
    <t>獲得臨時食物</t>
  </si>
  <si>
    <t>獲得資源</t>
  </si>
  <si>
    <t>獲得戰鬥力</t>
  </si>
  <si>
    <t>士氣變化</t>
  </si>
  <si>
    <t>替換機會</t>
  </si>
  <si>
    <t>特殊效果</t>
  </si>
  <si>
    <t>風險/副作用</t>
  </si>
  <si>
    <t>設計意圖</t>
  </si>
  <si>
    <t>測試重點</t>
  </si>
  <si>
    <t>Rough Score</t>
  </si>
  <si>
    <t>CARD-FOOD-001</t>
  </si>
  <si>
    <t>(尋找莓果)預設食物</t>
  </si>
  <si>
    <t>Draft</t>
  </si>
  <si>
    <t>Food</t>
  </si>
  <si>
    <t>Early</t>
  </si>
  <si>
    <t>Default</t>
  </si>
  <si>
    <t>Default Refill</t>
  </si>
  <si>
    <t>臨時食物 +2</t>
  </si>
  <si>
    <t>最基礎的食物牌，1能量適合在玩家意圖中穿插打出，功能極弱，無法累計，但可維持每天運轉</t>
  </si>
  <si>
    <t>是否可以在前期(1~10天內)充當每天食物獲取的卡牌</t>
  </si>
  <si>
    <t>CARD-RES-001</t>
  </si>
  <si>
    <t>(物盡其用)預設零件</t>
  </si>
  <si>
    <t>Resource</t>
  </si>
  <si>
    <t>資源 +1</t>
  </si>
  <si>
    <t>基礎資源牌，支撐建築與製作。目的為前期難打出但咬緊牙關還是可以打出來</t>
  </si>
  <si>
    <t>資源累積速度是否讓工作台太快完成。作為預設牌不能效率太高，獲取資源之資源應大多數在卡包中發掘</t>
  </si>
  <si>
    <t>CARD-COM-001</t>
  </si>
  <si>
    <t>(警覺)預設戰鬥</t>
  </si>
  <si>
    <t>Combat</t>
  </si>
  <si>
    <t>戰鬥力 +2</t>
  </si>
  <si>
    <t>防禦工事給的核心戰鬥卡。</t>
  </si>
  <si>
    <t>殭屍壓力是否需要 1-2 張戰鬥卡才能處理。</t>
  </si>
  <si>
    <t>(無所事事)預設無限制</t>
  </si>
  <si>
    <t>Other</t>
  </si>
  <si>
    <t>Unrestricted</t>
  </si>
  <si>
    <t>無法打出</t>
  </si>
  <si>
    <t>填充無限制欄位</t>
  </si>
  <si>
    <t>無</t>
  </si>
  <si>
    <t>CARD-EXP-001</t>
  </si>
  <si>
    <t>基礎探索</t>
  </si>
  <si>
    <t>Explore</t>
  </si>
  <si>
    <t>Common</t>
  </si>
  <si>
    <t>Building Craft</t>
  </si>
  <si>
    <t>開啟初級地區三選一，使用後耗盡。</t>
  </si>
  <si>
    <t>可能帶入殭屍卡。</t>
  </si>
  <si>
    <t>取得卡包，但不能免費無限使用。</t>
  </si>
  <si>
    <t>探索收益是否值得花一張牌與製作成本。</t>
  </si>
  <si>
    <t>CARD-CRAFT-001</t>
  </si>
  <si>
    <t>烹飪</t>
  </si>
  <si>
    <t>Craft</t>
  </si>
  <si>
    <t>食物 -2，臨時食物 +6，可使用 3 次。</t>
  </si>
  <si>
    <t>需要先有永久食物。</t>
  </si>
  <si>
    <t>把永久食物轉成輪末專用緩衝。</t>
  </si>
  <si>
    <t>兩卡解決一輪食物壓力是否太強。</t>
  </si>
  <si>
    <t>CARD-PLAN-001</t>
  </si>
  <si>
    <t>調度</t>
  </si>
  <si>
    <t>Planning</t>
  </si>
  <si>
    <t>獲得 1 次卡牌替換機會。</t>
  </si>
  <si>
    <t>情報中心給玩家整理牌組的工具。</t>
  </si>
  <si>
    <t>替換機會是否太容易洗掉弱牌。</t>
  </si>
  <si>
    <t>CARD-ZOM-001</t>
  </si>
  <si>
    <t>徘徊殭屍</t>
  </si>
  <si>
    <t>Zombie</t>
  </si>
  <si>
    <t>Additive</t>
  </si>
  <si>
    <t>Exploration Pack</t>
  </si>
  <si>
    <t>抽到時自動生成殭屍威脅並補抽。</t>
  </si>
  <si>
    <t>輪末未清會扣士氣。</t>
  </si>
  <si>
    <t>讓探索與事件帶來非正規牌組壓力。</t>
  </si>
  <si>
    <t>附加卡是否不會形成第 4 回合。</t>
  </si>
  <si>
    <t>零食</t>
  </si>
  <si>
    <t>Small Food Pack</t>
  </si>
  <si>
    <t>食物 +2</t>
  </si>
  <si>
    <t>標準的獲取食物</t>
  </si>
  <si>
    <t>是否符合1~20天的需求</t>
  </si>
  <si>
    <t>罐頭</t>
  </si>
  <si>
    <t>食物+3</t>
  </si>
  <si>
    <t>比標準-1的食物獲取，但可使用次數高</t>
  </si>
  <si>
    <t>飲料</t>
  </si>
  <si>
    <t>獲取士氣+2</t>
  </si>
  <si>
    <t>比較標準稀有一點的食物</t>
  </si>
  <si>
    <t>貨架搜刮</t>
  </si>
  <si>
    <t>Rare</t>
  </si>
  <si>
    <t>獲取食物+6</t>
  </si>
  <si>
    <t>較高稀有度的食物</t>
  </si>
  <si>
    <t>稀有度較高，超商、便利商店限定</t>
  </si>
  <si>
    <t>可用零件</t>
  </si>
  <si>
    <t>Small Resource Pack</t>
  </si>
  <si>
    <t>獲得資源+1</t>
  </si>
  <si>
    <t>標準的獲取資源</t>
  </si>
  <si>
    <t>是否符合1~20天的建築升級需求</t>
  </si>
  <si>
    <t>拆除家具</t>
  </si>
  <si>
    <t>單次高收益，一次只會出現一張</t>
  </si>
  <si>
    <t>上鎖倉庫間</t>
  </si>
  <si>
    <t>單次極高收益，但難以打出</t>
  </si>
  <si>
    <t>是否符合1~30天的建築升級需求</t>
  </si>
  <si>
    <t>稀有度較高，倉庫限定</t>
  </si>
  <si>
    <t>調度工具</t>
  </si>
  <si>
    <t>Small Tool Pack</t>
  </si>
  <si>
    <t>選擇一張抽牌堆中的牌加入手中，填入一張休憩至抽牌堆</t>
  </si>
  <si>
    <t>用於調度想在此回合打出的牌</t>
  </si>
  <si>
    <t>是否真正可以幫助到玩家</t>
  </si>
  <si>
    <t>休憩</t>
  </si>
  <si>
    <t>Effect Refill</t>
  </si>
  <si>
    <t>用於使抽取或檢索用途卡牌，使其卡組合規</t>
  </si>
  <si>
    <t>效率至上</t>
  </si>
  <si>
    <t>獲得1點能量</t>
  </si>
  <si>
    <t>用於使高費卡牌可在前期打出</t>
  </si>
  <si>
    <t>效率安排</t>
  </si>
  <si>
    <t>其他手牌的能量減少1</t>
  </si>
  <si>
    <t>使低費卡牌的效率提升</t>
  </si>
  <si>
    <t>撬棍</t>
  </si>
  <si>
    <t>Small Weapon Pack</t>
  </si>
  <si>
    <t>戰鬥力+2</t>
  </si>
  <si>
    <t>效率較高的戰鬥卡</t>
  </si>
  <si>
    <t>是否可提供足夠戰鬥值以應付1~20天的殭屍威脅</t>
  </si>
  <si>
    <t>消防斧</t>
  </si>
  <si>
    <t>戰鬥力+4</t>
  </si>
  <si>
    <t>效率極高的戰鬥卡</t>
  </si>
  <si>
    <t>是否可以提供臨時戰鬥值以應付臨時出現的屍潮</t>
  </si>
  <si>
    <r>
      <rPr>
        <sz val="11"/>
        <rFont val="Microsoft JhengHei"/>
        <family val="2"/>
        <charset val="136"/>
      </rPr>
      <t>事件</t>
    </r>
    <r>
      <rPr>
        <sz val="11"/>
        <rFont val="Calibri"/>
        <family val="2"/>
      </rPr>
      <t>ID</t>
    </r>
  </si>
  <si>
    <t>事件名稱</t>
  </si>
  <si>
    <t>事件分類</t>
  </si>
  <si>
    <t>正負分類</t>
  </si>
  <si>
    <t>影響程度</t>
  </si>
  <si>
    <t>最早</t>
  </si>
  <si>
    <t>最晚天數</t>
  </si>
  <si>
    <t>權重1~100</t>
  </si>
  <si>
    <t>是否一局一次</t>
  </si>
  <si>
    <t>冷卻天數</t>
  </si>
  <si>
    <t>前置條件</t>
  </si>
  <si>
    <t>特殊規則</t>
  </si>
  <si>
    <t>選擇欄位1</t>
  </si>
  <si>
    <t>選擇欄位2</t>
  </si>
  <si>
    <t>選擇欄位3</t>
  </si>
  <si>
    <t>文本</t>
  </si>
  <si>
    <t>選擇欄位1文本</t>
  </si>
  <si>
    <t>選擇欄位2文本</t>
  </si>
  <si>
    <t>選擇欄位3文本</t>
  </si>
  <si>
    <t>選擇欄位1內容文本</t>
  </si>
  <si>
    <r>
      <rPr>
        <sz val="11"/>
        <rFont val="微軟正黑體"/>
        <family val="2"/>
      </rPr>
      <t>選擇欄位2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內容文本</t>
    </r>
  </si>
  <si>
    <t>選擇欄位3內容文本</t>
  </si>
  <si>
    <t>欄18</t>
  </si>
  <si>
    <t>欄19</t>
  </si>
  <si>
    <t>欄20</t>
  </si>
  <si>
    <t>欄21</t>
  </si>
  <si>
    <t>食物受潮</t>
  </si>
  <si>
    <t>資源</t>
  </si>
  <si>
    <t>負面</t>
  </si>
  <si>
    <t>小</t>
  </si>
  <si>
    <t>否</t>
  </si>
  <si>
    <t>若倉庫等級&gt;=2則不會發生</t>
  </si>
  <si>
    <r>
      <rPr>
        <sz val="11"/>
        <rFont val="微軟正黑體"/>
        <family val="2"/>
      </rPr>
      <t>食物</t>
    </r>
    <r>
      <rPr>
        <sz val="11"/>
        <rFont val="Arial"/>
        <family val="2"/>
      </rPr>
      <t>-(</t>
    </r>
    <r>
      <rPr>
        <sz val="11"/>
        <rFont val="微軟正黑體"/>
        <family val="2"/>
      </rPr>
      <t>現存食物的2</t>
    </r>
    <r>
      <rPr>
        <sz val="11"/>
        <rFont val="Arial"/>
        <family val="2"/>
      </rPr>
      <t>0%-</t>
    </r>
    <r>
      <rPr>
        <sz val="11"/>
        <rFont val="微軟正黑體"/>
        <family val="2"/>
      </rPr>
      <t>倉庫等級-10%</t>
    </r>
    <r>
      <rPr>
        <sz val="11"/>
        <rFont val="Arial"/>
        <family val="2"/>
      </rPr>
      <t>)</t>
    </r>
  </si>
  <si>
    <r>
      <rPr>
        <sz val="11"/>
        <rFont val="微軟正黑體"/>
        <family val="2"/>
      </rPr>
      <t>士氣</t>
    </r>
    <r>
      <rPr>
        <sz val="11"/>
        <rFont val="Arial"/>
        <family val="2"/>
      </rPr>
      <t>-5</t>
    </r>
  </si>
  <si>
    <t xml:space="preserve">丟棄食物 </t>
  </si>
  <si>
    <t xml:space="preserve">置之不理 </t>
  </si>
  <si>
    <t>飢餓倖存者</t>
  </si>
  <si>
    <t>倖存者</t>
  </si>
  <si>
    <t>混合</t>
  </si>
  <si>
    <r>
      <rPr>
        <sz val="11"/>
        <rFont val="微軟正黑體"/>
        <family val="2"/>
      </rPr>
      <t>若食物庫存</t>
    </r>
    <r>
      <rPr>
        <sz val="11"/>
        <rFont val="Arial"/>
        <family val="2"/>
      </rPr>
      <t>&gt;=</t>
    </r>
    <r>
      <rPr>
        <sz val="11"/>
        <rFont val="微軟正黑體"/>
        <family val="2"/>
      </rPr>
      <t>食物上限</t>
    </r>
    <r>
      <rPr>
        <sz val="11"/>
        <rFont val="Arial"/>
        <family val="2"/>
      </rPr>
      <t xml:space="preserve">50% </t>
    </r>
    <r>
      <rPr>
        <sz val="11"/>
        <rFont val="微軟正黑體"/>
        <family val="2"/>
      </rPr>
      <t>權重*5</t>
    </r>
  </si>
  <si>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每日需求</t>
    </r>
    <r>
      <rPr>
        <sz val="11"/>
        <rFont val="Arial"/>
        <family val="2"/>
      </rPr>
      <t>+(2*</t>
    </r>
    <r>
      <rPr>
        <sz val="11"/>
        <rFont val="微軟正黑體"/>
        <family val="2"/>
      </rPr>
      <t>已幫助人數) 最大能量增加1點</t>
    </r>
  </si>
  <si>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減少(min(現有10%,2) )食物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增加(消耗食物*2)點士氣</t>
    </r>
  </si>
  <si>
    <t>加入我們</t>
  </si>
  <si>
    <t>選擇幫助</t>
  </si>
  <si>
    <t xml:space="preserve">忽視請求 </t>
  </si>
  <si>
    <t>夜間低溫</t>
  </si>
  <si>
    <t>混和偏負面</t>
  </si>
  <si>
    <t>減少(最大能量)點資源</t>
  </si>
  <si>
    <t>減少(最大能量*2的食物) 增加(最大能量)點士氣</t>
  </si>
  <si>
    <r>
      <rPr>
        <sz val="11"/>
        <rFont val="微軟正黑體"/>
        <family val="2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</rPr>
      <t>最大能量</t>
    </r>
    <r>
      <rPr>
        <sz val="11"/>
        <rFont val="Arial"/>
        <family val="2"/>
      </rPr>
      <t>)</t>
    </r>
    <r>
      <rPr>
        <sz val="11"/>
        <rFont val="微軟正黑體"/>
        <family val="2"/>
      </rPr>
      <t>點士氣</t>
    </r>
  </si>
  <si>
    <t>增添暖爐</t>
  </si>
  <si>
    <t>夜晚的熱湯</t>
  </si>
  <si>
    <t>無能為力</t>
  </si>
  <si>
    <t>發現補給品</t>
  </si>
  <si>
    <t>正面</t>
  </si>
  <si>
    <t>文本上顯示都是開啟補給箱 三者隨機打亂顯示</t>
  </si>
  <si>
    <t>獲得(50%資源卡包、50%食物卡包)</t>
  </si>
  <si>
    <r>
      <rPr>
        <sz val="11"/>
        <rFont val="微軟正黑體"/>
        <family val="2"/>
      </rPr>
      <t>獲得</t>
    </r>
    <r>
      <rPr>
        <sz val="11"/>
        <rFont val="Arial"/>
        <family val="2"/>
      </rPr>
      <t>(</t>
    </r>
    <r>
      <rPr>
        <sz val="11"/>
        <rFont val="微軟正黑體"/>
        <family val="2"/>
      </rPr>
      <t>食物上限20%的食物</t>
    </r>
    <r>
      <rPr>
        <sz val="11"/>
        <rFont val="Arial"/>
        <family val="2"/>
      </rPr>
      <t>)</t>
    </r>
    <r>
      <rPr>
        <sz val="11"/>
        <rFont val="微軟正黑體"/>
        <family val="2"/>
      </rPr>
      <t>與(食物上限10%的資源)</t>
    </r>
  </si>
  <si>
    <r>
      <rPr>
        <sz val="11"/>
        <rFont val="微軟正黑體"/>
        <family val="2"/>
      </rPr>
      <t>獲得</t>
    </r>
    <r>
      <rPr>
        <sz val="11"/>
        <rFont val="Arial"/>
        <family val="2"/>
      </rPr>
      <t>(</t>
    </r>
    <r>
      <rPr>
        <sz val="11"/>
        <rFont val="微軟正黑體"/>
        <family val="2"/>
      </rPr>
      <t>消防斧*2</t>
    </r>
    <r>
      <rPr>
        <sz val="11"/>
        <rFont val="Arial"/>
        <family val="2"/>
      </rPr>
      <t>)</t>
    </r>
  </si>
  <si>
    <t>開啟補給箱(卡包)</t>
  </si>
  <si>
    <t>開啟補給箱(資源)</t>
  </si>
  <si>
    <t>開啟補給箱(特定戰鬥卡)</t>
  </si>
  <si>
    <t>工具損耗</t>
  </si>
  <si>
    <r>
      <t>50%</t>
    </r>
    <r>
      <rPr>
        <sz val="11"/>
        <rFont val="微軟正黑體"/>
        <family val="2"/>
      </rPr>
      <t>無事發生</t>
    </r>
    <r>
      <rPr>
        <sz val="11"/>
        <rFont val="Arial"/>
        <family val="2"/>
      </rPr>
      <t xml:space="preserve"> 50%</t>
    </r>
    <r>
      <rPr>
        <sz val="11"/>
        <rFont val="微軟正黑體"/>
        <family val="2"/>
      </rPr>
      <t>下一輪效率-1</t>
    </r>
  </si>
  <si>
    <t>下一輪無法打出食物與資源卡 獲得2點資源</t>
  </si>
  <si>
    <t>修理</t>
  </si>
  <si>
    <t>嘗試敲打</t>
  </si>
  <si>
    <t>回收零件</t>
  </si>
  <si>
    <t>臨時修繕</t>
  </si>
  <si>
    <t>混合偏負面</t>
  </si>
  <si>
    <r>
      <rPr>
        <sz val="11"/>
        <rFont val="微軟正黑體"/>
        <family val="2"/>
      </rPr>
      <t>消耗</t>
    </r>
    <r>
      <rPr>
        <sz val="11"/>
        <rFont val="Arial"/>
        <family val="2"/>
      </rPr>
      <t>(</t>
    </r>
    <r>
      <rPr>
        <sz val="11"/>
        <rFont val="微軟正黑體"/>
        <family val="2"/>
      </rPr>
      <t>最大能量*2</t>
    </r>
    <r>
      <rPr>
        <sz val="11"/>
        <rFont val="Arial"/>
        <family val="2"/>
      </rPr>
      <t>)</t>
    </r>
    <r>
      <rPr>
        <sz val="11"/>
        <rFont val="微軟正黑體"/>
        <family val="2"/>
      </rPr>
      <t>點資源 (最大能量)點戰鬥值</t>
    </r>
  </si>
  <si>
    <r>
      <rPr>
        <sz val="11"/>
        <rFont val="微軟正黑體"/>
        <family val="2"/>
      </rPr>
      <t>消耗(最大能量</t>
    </r>
    <r>
      <rPr>
        <sz val="11"/>
        <rFont val="Arial"/>
        <family val="2"/>
      </rPr>
      <t>)</t>
    </r>
    <r>
      <rPr>
        <sz val="11"/>
        <rFont val="微軟正黑體"/>
        <family val="2"/>
      </rPr>
      <t>點資源 下一輪的戰鬥卡獲得的戰鬥值+1</t>
    </r>
  </si>
  <si>
    <t>戰鬥值-2</t>
  </si>
  <si>
    <t>加固外牆</t>
  </si>
  <si>
    <t>加強警戒</t>
  </si>
  <si>
    <t>簡單填補</t>
  </si>
  <si>
    <t>遠處槍聲</t>
  </si>
  <si>
    <t>殭屍</t>
  </si>
  <si>
    <t>中高</t>
  </si>
  <si>
    <t>屍群逼近的權重增加50</t>
  </si>
  <si>
    <t>消耗(最大能量)點資源與消耗(最大能量*2)點食物(無論飢餓倖存者有沒有在冷卻，下一次的事件為飢餓倖存者)</t>
  </si>
  <si>
    <t>士氣減少5</t>
  </si>
  <si>
    <t>新增一張僵屍卡進入棄牌堆</t>
  </si>
  <si>
    <t>派人查看</t>
  </si>
  <si>
    <t>忽視</t>
  </si>
  <si>
    <t>屍群逼近</t>
  </si>
  <si>
    <r>
      <rPr>
        <sz val="11"/>
        <rFont val="微軟正黑體"/>
        <family val="2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</rPr>
      <t>最大能量*2</t>
    </r>
    <r>
      <rPr>
        <sz val="11"/>
        <rFont val="Arial"/>
        <family val="2"/>
      </rPr>
      <t>)</t>
    </r>
    <r>
      <rPr>
        <sz val="11"/>
        <rFont val="微軟正黑體"/>
        <family val="2"/>
      </rPr>
      <t>點資源 獲得(最大能量)點戰鬥值</t>
    </r>
  </si>
  <si>
    <r>
      <rPr>
        <sz val="11"/>
        <rFont val="微軟正黑體"/>
        <family val="2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</rPr>
      <t>最大能量*2</t>
    </r>
    <r>
      <rPr>
        <sz val="11"/>
        <rFont val="Arial"/>
        <family val="2"/>
      </rPr>
      <t>)</t>
    </r>
    <r>
      <rPr>
        <sz val="11"/>
        <rFont val="微軟正黑體"/>
        <family val="2"/>
      </rPr>
      <t>點食物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獲得下次屍群來臨的詳細資訊 殭屍威脅-(最大能量)點</t>
    </r>
  </si>
  <si>
    <t>無事發生</t>
  </si>
  <si>
    <t>派人偵查</t>
  </si>
  <si>
    <t>靜待來臨</t>
  </si>
  <si>
    <t>路線錯判</t>
  </si>
  <si>
    <t>減少(最大能量*3)點士氣</t>
  </si>
  <si>
    <t>下一輪無法打出探索卡</t>
  </si>
  <si>
    <t>繼續前進</t>
  </si>
  <si>
    <t>撤退</t>
  </si>
  <si>
    <t>可疑信號</t>
  </si>
  <si>
    <t>混和/劇情</t>
  </si>
  <si>
    <t>是</t>
  </si>
  <si>
    <t>下一次的屍群來臨難度翻倍 (分數翻倍+顯示最後出現屍群的時間)</t>
  </si>
  <si>
    <t>接收信號</t>
  </si>
  <si>
    <t>摧毀無線電</t>
  </si>
  <si>
    <t>破損路障</t>
  </si>
  <si>
    <t>下一輪打出的探索卡能量翻倍</t>
  </si>
  <si>
    <r>
      <rPr>
        <sz val="11"/>
        <rFont val="微軟正黑體"/>
        <family val="2"/>
      </rPr>
      <t>減少</t>
    </r>
    <r>
      <rPr>
        <sz val="11"/>
        <rFont val="Arial"/>
        <family val="2"/>
      </rPr>
      <t>(</t>
    </r>
    <r>
      <rPr>
        <sz val="11"/>
        <rFont val="微軟正黑體"/>
        <family val="2"/>
      </rPr>
      <t>最大能量值</t>
    </r>
    <r>
      <rPr>
        <sz val="11"/>
        <rFont val="Arial"/>
        <family val="2"/>
      </rPr>
      <t>)</t>
    </r>
    <r>
      <rPr>
        <sz val="11"/>
        <rFont val="微軟正黑體"/>
        <family val="2"/>
      </rPr>
      <t xml:space="preserve">點資源  </t>
    </r>
  </si>
  <si>
    <t>臨時改道</t>
  </si>
  <si>
    <t>製作工具</t>
  </si>
  <si>
    <t>廢棄地圖</t>
  </si>
  <si>
    <t>劇情</t>
  </si>
  <si>
    <r>
      <rPr>
        <sz val="11"/>
        <rFont val="微軟正黑體"/>
        <family val="2"/>
      </rPr>
      <t>若該輪有打出探索卡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權重增加</t>
    </r>
    <r>
      <rPr>
        <sz val="11"/>
        <rFont val="Arial"/>
        <family val="2"/>
      </rPr>
      <t xml:space="preserve">+50 </t>
    </r>
    <r>
      <rPr>
        <sz val="11"/>
        <rFont val="微軟正黑體"/>
        <family val="2"/>
      </rPr>
      <t>冷卻-1</t>
    </r>
  </si>
  <si>
    <t>新增地點供探索卡探索</t>
  </si>
  <si>
    <t>舊地點的探索值增加</t>
  </si>
  <si>
    <t>殭屍威脅減少(最大能量)點</t>
  </si>
  <si>
    <t>查看新地點</t>
  </si>
  <si>
    <t>確認舊地點</t>
  </si>
  <si>
    <t>標註威脅點</t>
  </si>
  <si>
    <t>雲朗天清</t>
  </si>
  <si>
    <t>混和/效果</t>
  </si>
  <si>
    <t>助長士氣只能在食物&gt;食物上限50%時才能選擇</t>
  </si>
  <si>
    <r>
      <rPr>
        <sz val="11"/>
        <rFont val="微軟正黑體"/>
        <family val="2"/>
      </rPr>
      <t>減少(食物上限30)</t>
    </r>
    <r>
      <rPr>
        <sz val="11"/>
        <rFont val="Arial"/>
        <family val="2"/>
      </rPr>
      <t>%</t>
    </r>
    <r>
      <rPr>
        <sz val="11"/>
        <rFont val="微軟正黑體"/>
        <family val="2"/>
      </rPr>
      <t>點食物 增加(被消耗的食物*2)點士氣</t>
    </r>
  </si>
  <si>
    <r>
      <rPr>
        <sz val="11"/>
        <rFont val="微軟正黑體"/>
        <family val="2"/>
      </rPr>
      <t>下一輪的效率</t>
    </r>
    <r>
      <rPr>
        <sz val="11"/>
        <rFont val="Arial"/>
        <family val="2"/>
      </rPr>
      <t>-1</t>
    </r>
    <r>
      <rPr>
        <sz val="11"/>
        <rFont val="Carlito"/>
      </rPr>
      <t xml:space="preserve"> 增加(最大能量)點士氣</t>
    </r>
  </si>
  <si>
    <t>助長士氣</t>
  </si>
  <si>
    <t>休假放鬆</t>
  </si>
  <si>
    <t>一如既往</t>
  </si>
  <si>
    <t>屍群來臨</t>
  </si>
  <si>
    <t>每次屍群逼近之後才可出現一次，</t>
  </si>
  <si>
    <t>在屍群逼近後每天增加此權重50</t>
  </si>
  <si>
    <t>根據殭屍威脅給予對應難度的殭屍卡數量</t>
  </si>
  <si>
    <t>背水一戰</t>
  </si>
  <si>
    <t>Region ID</t>
  </si>
  <si>
    <t>地區名稱</t>
  </si>
  <si>
    <t>階級</t>
  </si>
  <si>
    <t>基礎危險</t>
  </si>
  <si>
    <t>殭屍總量</t>
  </si>
  <si>
    <t>基礎遭遇率</t>
  </si>
  <si>
    <t>每次熱度</t>
  </si>
  <si>
    <t>每日衰減</t>
  </si>
  <si>
    <t>欄9</t>
  </si>
  <si>
    <t>欄10</t>
  </si>
  <si>
    <t>欄11</t>
  </si>
  <si>
    <t>欄12</t>
  </si>
  <si>
    <t>欄13</t>
  </si>
  <si>
    <t>欄14</t>
  </si>
  <si>
    <t>欄15</t>
  </si>
  <si>
    <t>欄16</t>
  </si>
  <si>
    <t>欄17</t>
  </si>
  <si>
    <t>欄22</t>
  </si>
  <si>
    <t>欄23</t>
  </si>
  <si>
    <t>欄24</t>
  </si>
  <si>
    <t>欄25</t>
  </si>
  <si>
    <t>欄26</t>
  </si>
  <si>
    <t>REGION-001</t>
  </si>
  <si>
    <t>廢棄超市</t>
  </si>
  <si>
    <t>初級</t>
  </si>
  <si>
    <t>REGION-002</t>
  </si>
  <si>
    <t>住宅區</t>
  </si>
  <si>
    <t>REGION-003</t>
  </si>
  <si>
    <t>消防局</t>
  </si>
  <si>
    <t>REGION-004</t>
  </si>
  <si>
    <t>五金行</t>
  </si>
  <si>
    <t>中級</t>
  </si>
  <si>
    <t>REGION-005</t>
  </si>
  <si>
    <t>倉庫</t>
  </si>
  <si>
    <t>Pack ID</t>
  </si>
  <si>
    <t>卡包名稱</t>
  </si>
  <si>
    <t>初始數量</t>
  </si>
  <si>
    <t>基礎權重</t>
  </si>
  <si>
    <t>簡易食物包</t>
  </si>
  <si>
    <t>普通</t>
  </si>
  <si>
    <t>罕見食物包</t>
  </si>
  <si>
    <t>稀有</t>
  </si>
  <si>
    <t>稀有補給包</t>
  </si>
  <si>
    <t>極稀有</t>
  </si>
  <si>
    <t>簡易資源包</t>
  </si>
  <si>
    <t>罕見資源包</t>
  </si>
  <si>
    <t>住宅包</t>
  </si>
  <si>
    <t>消防局包</t>
  </si>
  <si>
    <t>稀有資源包</t>
  </si>
  <si>
    <t>倉庫包</t>
  </si>
  <si>
    <t>目前 V1 數值基準與可調假設</t>
  </si>
  <si>
    <t>這張表不是絕對答案，是第一版卡牌設計時的尺。若你之後改規則，先改這裡再看 Card Design。</t>
  </si>
  <si>
    <t>項目</t>
  </si>
  <si>
    <t>目前基準</t>
  </si>
  <si>
    <t>設計意義</t>
  </si>
  <si>
    <t>卡牌效率參考</t>
  </si>
  <si>
    <t>建議基準</t>
  </si>
  <si>
    <t>說明</t>
  </si>
  <si>
    <t>短局天數</t>
  </si>
  <si>
    <t>第一版可測完整局長</t>
  </si>
  <si>
    <t>暫定方向</t>
  </si>
  <si>
    <t>標準食物卡</t>
  </si>
  <si>
    <t>2 食物 / 1 能量</t>
  </si>
  <si>
    <t>食物效率的最低尺</t>
  </si>
  <si>
    <t>正規牌組大小</t>
  </si>
  <si>
    <t>每輪 3 Turn，每 Turn 抽 5 張</t>
  </si>
  <si>
    <t>5n 合法性</t>
  </si>
  <si>
    <t>標準資源卡</t>
  </si>
  <si>
    <t>1 資源 / 1 能量</t>
  </si>
  <si>
    <t>建築與製作速度的最低尺</t>
  </si>
  <si>
    <t>每 Turn 抽牌</t>
  </si>
  <si>
    <t>手牌決策密度</t>
  </si>
  <si>
    <t>標準戰鬥卡</t>
  </si>
  <si>
    <t>2 戰鬥力 / 3 能量</t>
  </si>
  <si>
    <t>清殭屍壓力的最低尺</t>
  </si>
  <si>
    <t>每輪 Turn 數</t>
  </si>
  <si>
    <t>抽完整正規牌組</t>
  </si>
  <si>
    <t>烹飪卡</t>
  </si>
  <si>
    <t>-2 食物 +6 臨時食物 / 1 能量</t>
  </si>
  <si>
    <t>高效率但只能支付輪末固定消耗</t>
  </si>
  <si>
    <t>基礎能量</t>
  </si>
  <si>
    <t>1~3</t>
  </si>
  <si>
    <t>限制每 Turn 可打牌量</t>
  </si>
  <si>
    <t>目前想要讓情報中心當成能量的來源，每多1等+1上限</t>
  </si>
  <si>
    <t>基礎探索卡</t>
  </si>
  <si>
    <t>1 次使用，製作取得</t>
  </si>
  <si>
    <t>卡包來源，不應免費循環</t>
  </si>
  <si>
    <t>基礎輪末食物消耗</t>
  </si>
  <si>
    <t>預計1~10天(3) 11~20(5) 21~30(10)</t>
  </si>
  <si>
    <t>FoodPlanSystem 目前 baseRoundConsumption</t>
  </si>
  <si>
    <t>暫定，之後修改</t>
  </si>
  <si>
    <t>1 次替換約等於 2 Rough Score</t>
  </si>
  <si>
    <t>只是估算，用於抓異常</t>
  </si>
  <si>
    <t>緊縮食物修正</t>
  </si>
  <si>
    <t>少吃但降士氣</t>
  </si>
  <si>
    <t>每 5 士氣約等於 1 Rough Score</t>
  </si>
  <si>
    <t>暫定換算</t>
  </si>
  <si>
    <t>豐盛食物修正</t>
  </si>
  <si>
    <t>多吃但加士氣</t>
  </si>
  <si>
    <t>附加卡，不形成第 4 回合</t>
  </si>
  <si>
    <t>風險應壓迫玩家而非破壞牌組規則</t>
  </si>
  <si>
    <t>緊縮士氣修正</t>
  </si>
  <si>
    <t>食物換士氣</t>
  </si>
  <si>
    <t>豐盛士氣修正</t>
  </si>
  <si>
    <t>食物短缺士氣懲罰</t>
  </si>
  <si>
    <t>每缺 1 食物，士氣 -5</t>
  </si>
  <si>
    <t>預設士氣</t>
  </si>
  <si>
    <t>基地穩定點</t>
  </si>
  <si>
    <t>高於 70 會回落</t>
  </si>
  <si>
    <t>最大士氣</t>
  </si>
  <si>
    <t>士氣上限</t>
  </si>
  <si>
    <t>高士氣每輪衰減</t>
  </si>
  <si>
    <t>避免士氣永久堆疊</t>
  </si>
  <si>
    <t>效果字典：討論卡牌時盡量使用這些動詞與數值</t>
  </si>
  <si>
    <t>這張表幫你把卡牌效果寫得接近程式與 GDD 語言，之後比較容易實作。</t>
  </si>
  <si>
    <t>分類</t>
  </si>
  <si>
    <t>效果名稱</t>
  </si>
  <si>
    <t>建議寫法</t>
  </si>
  <si>
    <t>目前系統支援</t>
  </si>
  <si>
    <t>常見用途</t>
  </si>
  <si>
    <t>Value</t>
  </si>
  <si>
    <t>AddFood</t>
  </si>
  <si>
    <t>食物 +N</t>
  </si>
  <si>
    <t>Yes</t>
  </si>
  <si>
    <t>食物卡、事件獎勵</t>
  </si>
  <si>
    <t>永久食物</t>
  </si>
  <si>
    <t>SpendFood</t>
  </si>
  <si>
    <t>食物 -N</t>
  </si>
  <si>
    <t>卡牌成本、事件成本</t>
  </si>
  <si>
    <t>不吃臨時食物</t>
  </si>
  <si>
    <t>AddTemporaryFood</t>
  </si>
  <si>
    <t>臨時食物 +N</t>
  </si>
  <si>
    <t>烹飪、短期補給</t>
  </si>
  <si>
    <t>只抵銷輪末固定消耗</t>
  </si>
  <si>
    <t>AddResource</t>
  </si>
  <si>
    <t>資源 +N</t>
  </si>
  <si>
    <t>資源卡、探索</t>
  </si>
  <si>
    <t>SpendResource</t>
  </si>
  <si>
    <t>資源 -N</t>
  </si>
  <si>
    <t>製作、建築、事件</t>
  </si>
  <si>
    <t>AddPendingDamage</t>
  </si>
  <si>
    <t>戰鬥力 +N</t>
  </si>
  <si>
    <t>輪末處理殭屍</t>
  </si>
  <si>
    <t>AddMorale</t>
  </si>
  <si>
    <t>士氣 +N</t>
  </si>
  <si>
    <t>事件、食物計畫</t>
  </si>
  <si>
    <t>ReduceMorale</t>
  </si>
  <si>
    <t>士氣 -N</t>
  </si>
  <si>
    <t>負面事件、探索風險</t>
  </si>
  <si>
    <t>Card Flow</t>
  </si>
  <si>
    <t>DrawCards</t>
  </si>
  <si>
    <t>抽 N 張</t>
  </si>
  <si>
    <t>節奏卡、調度卡</t>
  </si>
  <si>
    <t>小心爆發太強</t>
  </si>
  <si>
    <t>GrantReplacementChance</t>
  </si>
  <si>
    <t>替換機會 +N</t>
  </si>
  <si>
    <t>情報中心、規劃卡</t>
  </si>
  <si>
    <t>AddCardToDiscardPile</t>
  </si>
  <si>
    <t>指定卡進棄牌堆</t>
  </si>
  <si>
    <t>殭屍風險、事件污染</t>
  </si>
  <si>
    <t>Exploration</t>
  </si>
  <si>
    <t>BeginExploration</t>
  </si>
  <si>
    <t>開啟地區三選一</t>
  </si>
  <si>
    <t>由 ExplorationCardData 觸發</t>
  </si>
  <si>
    <t>Building</t>
  </si>
  <si>
    <t>ConstructionProgress</t>
  </si>
  <si>
    <t>施工進度 +N</t>
  </si>
  <si>
    <t>建造卡</t>
  </si>
  <si>
    <t>由 ConstructionCardData 觸發</t>
  </si>
  <si>
    <t>QueueCraft</t>
  </si>
  <si>
    <t>排入製作</t>
  </si>
  <si>
    <t>建築互動</t>
  </si>
  <si>
    <t>不是卡牌效果</t>
  </si>
  <si>
    <t>Future</t>
  </si>
  <si>
    <t>UpgradeCard</t>
  </si>
  <si>
    <t>指定卡牌強化</t>
  </si>
  <si>
    <t>Partial</t>
  </si>
  <si>
    <t>防禦工事</t>
  </si>
  <si>
    <t>已有建築互動原型</t>
  </si>
  <si>
    <t>EventWeight</t>
  </si>
  <si>
    <t>事件權重修正</t>
  </si>
  <si>
    <t>No</t>
  </si>
  <si>
    <t>士氣、探索後果</t>
  </si>
  <si>
    <t>保留後續</t>
  </si>
  <si>
    <t>卡牌來源與卡包討論表</t>
  </si>
  <si>
    <t>當你設計新卡時，也要決定玩家何時拿得到。這張表用來避免所有好卡都太早出現。</t>
  </si>
  <si>
    <t>解鎖時機</t>
  </si>
  <si>
    <t>主要卡牌類型</t>
  </si>
  <si>
    <t>推薦強度</t>
  </si>
  <si>
    <t>風險</t>
  </si>
  <si>
    <t>設計目的</t>
  </si>
  <si>
    <t>範例</t>
  </si>
  <si>
    <t>Starting Deck</t>
  </si>
  <si>
    <t>第 1 天</t>
  </si>
  <si>
    <t>Food / Resource / Combat</t>
  </si>
  <si>
    <t>低到中</t>
  </si>
  <si>
    <t>提供基本運作</t>
  </si>
  <si>
    <t>標準食物、拆解零件</t>
  </si>
  <si>
    <t>補位時</t>
  </si>
  <si>
    <t>基礎卡</t>
  </si>
  <si>
    <t>維持正規牌組合法</t>
  </si>
  <si>
    <t>預設食物、預設資源</t>
  </si>
  <si>
    <t>不應太強</t>
  </si>
  <si>
    <t>建築完成後</t>
  </si>
  <si>
    <t>Explore / Craft / Planning / Combat</t>
  </si>
  <si>
    <t>成本與時間</t>
  </si>
  <si>
    <t>長期成長</t>
  </si>
  <si>
    <t>烹飪、基礎探索、調度</t>
  </si>
  <si>
    <t>探索後</t>
  </si>
  <si>
    <t>Food / Resource / Weapon / Tech / Clue</t>
  </si>
  <si>
    <t>中到高</t>
  </si>
  <si>
    <t>殭屍或士氣</t>
  </si>
  <si>
    <t>冒險換未來</t>
  </si>
  <si>
    <t>軍事基地武器卡</t>
  </si>
  <si>
    <t>Event</t>
  </si>
  <si>
    <t>事件選項</t>
  </si>
  <si>
    <t>任意</t>
  </si>
  <si>
    <t>低到高</t>
  </si>
  <si>
    <t>選項代價</t>
  </si>
  <si>
    <t>製造抉擇</t>
  </si>
  <si>
    <t>救援、交易、污染</t>
  </si>
  <si>
    <t>Construction</t>
  </si>
  <si>
    <t>施工開始後</t>
  </si>
  <si>
    <t>Build</t>
  </si>
  <si>
    <t>功能性</t>
  </si>
  <si>
    <t>占用正規牌組</t>
  </si>
  <si>
    <t>推進建築進度</t>
  </si>
  <si>
    <t>工作台建造卡</t>
  </si>
  <si>
    <t>完成/取消後移除</t>
  </si>
  <si>
    <t>Debug/Test</t>
  </si>
  <si>
    <t>測試用</t>
  </si>
  <si>
    <t>不限</t>
  </si>
  <si>
    <t>快速驗證</t>
  </si>
  <si>
    <t>測試卡</t>
  </si>
  <si>
    <t>不要混進正式卡池</t>
  </si>
  <si>
    <t>Card Packs - 卡包設計表</t>
  </si>
  <si>
    <t>填法建議：上半部定義卡包本身，下半部定義卡包內會抽到哪些卡。地區不要直接變成卡包；地區應該指定可能掉落哪些卡包，卡包再用權重抽卡。Pack ID 會連接上下兩張表。</t>
  </si>
  <si>
    <t>卡包類型</t>
  </si>
  <si>
    <t>來源/地區</t>
  </si>
  <si>
    <t>每包張數</t>
  </si>
  <si>
    <t>是否可重複</t>
  </si>
  <si>
    <t>正常卡去向</t>
  </si>
  <si>
    <t>殭屍卡去向</t>
  </si>
  <si>
    <t>風險設計</t>
  </si>
  <si>
    <t>PACK-FOOD-S</t>
  </si>
  <si>
    <t>小食物卡包</t>
  </si>
  <si>
    <t>廢棄超市 / 住宅區</t>
  </si>
  <si>
    <t>CardInventory</t>
  </si>
  <si>
    <t>DiscardPile</t>
  </si>
  <si>
    <t>通常不額外加風險，由地區風險決定。</t>
  </si>
  <si>
    <t>提供短期食物補給與少量士氣牌。</t>
  </si>
  <si>
    <t>PACK-RES-S</t>
  </si>
  <si>
    <t>小資源卡包</t>
  </si>
  <si>
    <t>住宅區 / 加油站 / 倉庫</t>
  </si>
  <si>
    <t>支撐前期建築與製作節奏。</t>
  </si>
  <si>
    <t>PACK-TOOL-S</t>
  </si>
  <si>
    <t>小工具卡包</t>
  </si>
  <si>
    <t>Tool</t>
  </si>
  <si>
    <t>加油站 / 學校 / 事件</t>
  </si>
  <si>
    <t>工具牌容易改變節奏，需控制掉落。</t>
  </si>
  <si>
    <t>提供調度、加費與手牌操作。</t>
  </si>
  <si>
    <t>PACK-WEAPON-S</t>
  </si>
  <si>
    <t>小武器卡包</t>
  </si>
  <si>
    <t>Weapon</t>
  </si>
  <si>
    <t>加油站 / 軍事基地</t>
  </si>
  <si>
    <t>武器強度直接降低殭屍壓力，稀有卡需少量。</t>
  </si>
  <si>
    <t>提供戰鬥力補充。</t>
  </si>
  <si>
    <t>PACK-MIX-S</t>
  </si>
  <si>
    <t>混合生存卡包</t>
  </si>
  <si>
    <t>Mixed</t>
  </si>
  <si>
    <t>廢棄超市 / 住宅區 / 加油站</t>
  </si>
  <si>
    <t>可混入低量殭屍或傷口作為波動。</t>
  </si>
  <si>
    <t>讓探索結果更彈性。</t>
  </si>
  <si>
    <t>Entry ID</t>
  </si>
  <si>
    <t>權重</t>
  </si>
  <si>
    <t>最小張數</t>
  </si>
  <si>
    <t>最大張數</t>
  </si>
  <si>
    <t>是否地區限定</t>
  </si>
  <si>
    <t>限定地區</t>
  </si>
  <si>
    <t>抽到後去向</t>
  </si>
  <si>
    <t>設計備註</t>
  </si>
  <si>
    <t>E001</t>
  </si>
  <si>
    <t>標準食物牌。</t>
  </si>
  <si>
    <t>是否足以支撐 10 天短局。</t>
  </si>
  <si>
    <t>E002</t>
  </si>
  <si>
    <t>高使用次數但效率較低。</t>
  </si>
  <si>
    <t>是否太穩定。</t>
  </si>
  <si>
    <t>E003</t>
  </si>
  <si>
    <t>少量士氣回復。</t>
  </si>
  <si>
    <t>士氣是否太容易補回。</t>
  </si>
  <si>
    <t>E004</t>
  </si>
  <si>
    <t>超商 / 便利商店</t>
  </si>
  <si>
    <t>地區限定高收益食物。</t>
  </si>
  <si>
    <t>爆倉轉士氣後是否太強。</t>
  </si>
  <si>
    <t>E005</t>
  </si>
  <si>
    <t>標準資源牌。</t>
  </si>
  <si>
    <t>建築進度是否過快。</t>
  </si>
  <si>
    <t>E006</t>
  </si>
  <si>
    <t>單次高收益。</t>
  </si>
  <si>
    <t>一次性收益是否太強。</t>
  </si>
  <si>
    <t>E007</t>
  </si>
  <si>
    <t>高費高收益資源。</t>
  </si>
  <si>
    <t>是否需要加費工具支援。</t>
  </si>
  <si>
    <t>E008</t>
  </si>
  <si>
    <t>檢索抽牌堆並放入休憩。</t>
  </si>
  <si>
    <t>是否導致過度穩定。</t>
  </si>
  <si>
    <t>E009</t>
  </si>
  <si>
    <t>0 費加 1 能量。</t>
  </si>
  <si>
    <t>是否讓高費牌太容易打。</t>
  </si>
  <si>
    <t>E010</t>
  </si>
  <si>
    <t>降低其他手牌費用。</t>
  </si>
  <si>
    <t>是否形成爆發回合。</t>
  </si>
  <si>
    <t>E011</t>
  </si>
  <si>
    <t>標準武器。</t>
  </si>
  <si>
    <t>殭屍壓力是否下降太多。</t>
  </si>
  <si>
    <t>E012</t>
  </si>
  <si>
    <t>高效率武器。</t>
  </si>
  <si>
    <t>稀有武器是否太強。</t>
  </si>
  <si>
    <t>卡包公式建議：先依地區掉落表抽出 Pack ID，再依本表 Pack ID 找到候選 Entry，以權重抽取指定張數。若抽到 ZombieCardData，V1 規則是進棄牌堆；其他卡進 CardInventory。</t>
  </si>
  <si>
    <t>地區供應稀有度</t>
  </si>
  <si>
    <t>模擬剩餘數量</t>
  </si>
  <si>
    <t>首次 Pack ID</t>
  </si>
  <si>
    <t>當前權重</t>
  </si>
  <si>
    <t>當前機率</t>
  </si>
  <si>
    <t>PACK-COMMON-FOOD-01</t>
  </si>
  <si>
    <t>PACK-UNCOMMON-FOOD-01</t>
  </si>
  <si>
    <t>PACK-RARE-SUPPLY-01</t>
  </si>
  <si>
    <t>PACK-COMMON-RESOURCE-01</t>
  </si>
  <si>
    <t>PACK-UNCOMMON-RESOURCE-01</t>
  </si>
  <si>
    <t>PACK-REGION-002-01</t>
  </si>
  <si>
    <t>PACK-FireDepartment-01</t>
  </si>
  <si>
    <t>PACK-RARE-RESOURCE-01</t>
  </si>
  <si>
    <t>PACK-STOREHOUSE-01</t>
  </si>
  <si>
    <t>罕見資源包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</si>
</sst>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8" formatCode="0.0%"/>
  </numFmts>
  <fonts count="16">
    <font>
      <sz val="11"/>
      <name val="Carlito"/>
    </font>
    <font>
      <b/>
      <sz val="14"/>
      <color rgb="FFFFFFFF"/>
      <name val="Microsoft JhengHei"/>
      <family val="2"/>
      <charset val="136"/>
    </font>
    <font>
      <sz val="11"/>
      <color rgb="FF1F2933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1"/>
      <color rgb="FF111827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  <font>
      <sz val="11"/>
      <name val="Microsoft JhengHei"/>
      <family val="2"/>
      <charset val="136"/>
    </font>
    <font>
      <sz val="11"/>
      <name val="Calibri"/>
      <family val="2"/>
    </font>
    <font>
      <sz val="11"/>
      <name val="Carlito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Carlito"/>
    </font>
    <font>
      <b/>
      <sz val="11"/>
      <name val="Carlito"/>
    </font>
    <font>
      <b/>
      <sz val="11"/>
      <name val="微軟正黑體"/>
      <family val="2"/>
      <charset val="136"/>
    </font>
    <font>
      <sz val="11"/>
      <name val="微軟正黑體"/>
      <family val="2"/>
    </font>
  </fonts>
  <fills count="12">
    <fill>
      <patternFill patternType="none"/>
    </fill>
    <fill>
      <patternFill patternType="gray125"/>
    </fill>
    <fill>
      <patternFill patternType="solid">
        <fgColor rgb="FF183A59"/>
      </patternFill>
    </fill>
    <fill>
      <patternFill patternType="solid">
        <fgColor rgb="FFF4E9D2"/>
      </patternFill>
    </fill>
    <fill>
      <patternFill patternType="solid">
        <fgColor rgb="FF315F82"/>
      </patternFill>
    </fill>
    <fill>
      <patternFill patternType="solid">
        <fgColor rgb="FFF8FAFC"/>
      </patternFill>
    </fill>
    <fill>
      <patternFill patternType="solid">
        <fgColor rgb="FF112B3C"/>
      </patternFill>
    </fill>
    <fill>
      <patternFill patternType="solid">
        <fgColor rgb="FFFFFFFF"/>
      </patternFill>
    </fill>
    <fill>
      <patternFill patternType="solid">
        <fgColor rgb="FFFFF8D8"/>
      </patternFill>
    </fill>
    <fill>
      <patternFill patternType="solid">
        <fgColor rgb="FFF7FAFC"/>
      </patternFill>
    </fill>
    <fill>
      <patternFill patternType="solid">
        <fgColor rgb="FFEAF3FF"/>
      </patternFill>
    </fill>
    <fill>
      <patternFill patternType="solid">
        <fgColor rgb="FF3C5F4A"/>
      </patternFill>
    </fill>
  </fills>
  <borders count="14">
    <border>
      <left/>
      <right/>
      <top/>
      <bottom/>
      <diagonal/>
    </border>
    <border>
      <left style="thin">
        <color rgb="FFD6C59E"/>
      </left>
      <right/>
      <top style="thin">
        <color rgb="FFD6C59E"/>
      </top>
      <bottom style="thin">
        <color rgb="FFD6C59E"/>
      </bottom>
      <diagonal/>
    </border>
    <border>
      <left/>
      <right/>
      <top style="thin">
        <color rgb="FFD6C59E"/>
      </top>
      <bottom style="thin">
        <color rgb="FFD6C59E"/>
      </bottom>
      <diagonal/>
    </border>
    <border>
      <left/>
      <right style="thin">
        <color rgb="FFD6C59E"/>
      </right>
      <top style="thin">
        <color rgb="FFD6C59E"/>
      </top>
      <bottom style="thin">
        <color rgb="FFD6C59E"/>
      </bottom>
      <diagonal/>
    </border>
    <border>
      <left style="thin">
        <color rgb="FFB8C3D0"/>
      </left>
      <right style="thin">
        <color rgb="FFB8C3D0"/>
      </right>
      <top style="thin">
        <color rgb="FFB8C3D0"/>
      </top>
      <bottom style="thin">
        <color rgb="FFB8C3D0"/>
      </bottom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>
      <left style="thin">
        <color rgb="FFD6C59E"/>
      </left>
      <right/>
      <top style="thin">
        <color rgb="FFD6C59E"/>
      </top>
      <bottom/>
      <diagonal/>
    </border>
    <border>
      <left/>
      <right/>
      <top style="thin">
        <color rgb="FFD6C59E"/>
      </top>
      <bottom/>
      <diagonal/>
    </border>
    <border>
      <left/>
      <right style="thin">
        <color rgb="FFD6C59E"/>
      </right>
      <top style="thin">
        <color rgb="FFD6C59E"/>
      </top>
      <bottom/>
      <diagonal/>
    </border>
    <border>
      <left style="thin">
        <color rgb="FFD6C59E"/>
      </left>
      <right/>
      <top/>
      <bottom style="thin">
        <color rgb="FFD6C59E"/>
      </bottom>
      <diagonal/>
    </border>
    <border>
      <left/>
      <right/>
      <top/>
      <bottom style="thin">
        <color rgb="FFD6C59E"/>
      </bottom>
      <diagonal/>
    </border>
    <border>
      <left/>
      <right style="thin">
        <color rgb="FFD6C59E"/>
      </right>
      <top/>
      <bottom style="thin">
        <color rgb="FFD6C59E"/>
      </bottom>
      <diagonal/>
    </border>
    <border>
      <left style="thin">
        <color rgb="FFD6C59E"/>
      </left>
      <right/>
      <top/>
      <bottom/>
      <diagonal/>
    </border>
    <border>
      <left/>
      <right style="thin">
        <color rgb="FFD6C59E"/>
      </right>
      <top/>
      <bottom/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3" fillId="4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vertical="top" wrapText="1"/>
    </xf>
    <xf numFmtId="0" fontId="4" fillId="7" borderId="5" xfId="1" applyFont="1" applyFill="1" applyBorder="1" applyAlignment="1">
      <alignment vertical="top" wrapText="1"/>
    </xf>
    <xf numFmtId="1" fontId="4" fillId="7" borderId="5" xfId="1" applyNumberFormat="1" applyFont="1" applyFill="1" applyBorder="1" applyAlignment="1">
      <alignment vertical="top" wrapText="1"/>
    </xf>
    <xf numFmtId="0" fontId="4" fillId="8" borderId="5" xfId="1" applyFont="1" applyFill="1" applyBorder="1" applyAlignment="1">
      <alignment vertical="top" wrapText="1"/>
    </xf>
    <xf numFmtId="0" fontId="4" fillId="9" borderId="5" xfId="1" applyFont="1" applyFill="1" applyBorder="1" applyAlignment="1">
      <alignment vertical="top" wrapText="1"/>
    </xf>
    <xf numFmtId="176" fontId="4" fillId="10" borderId="5" xfId="1" applyNumberFormat="1" applyFont="1" applyFill="1" applyBorder="1" applyAlignment="1">
      <alignment vertical="top" wrapText="1"/>
    </xf>
    <xf numFmtId="0" fontId="3" fillId="11" borderId="4" xfId="1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0" xfId="0" applyFont="1"/>
    <xf numFmtId="0" fontId="10" fillId="0" borderId="0" xfId="0" applyFont="1"/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 wrapText="1"/>
    </xf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1" fillId="6" borderId="0" xfId="1" applyFont="1" applyFill="1" applyAlignment="1">
      <alignment horizontal="left" vertical="center"/>
    </xf>
    <xf numFmtId="0" fontId="2" fillId="3" borderId="6" xfId="1" applyFont="1" applyFill="1" applyBorder="1" applyAlignment="1">
      <alignment horizontal="left" vertical="center" wrapText="1"/>
    </xf>
    <xf numFmtId="0" fontId="2" fillId="3" borderId="7" xfId="1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horizontal="left" vertical="center" wrapText="1"/>
    </xf>
    <xf numFmtId="0" fontId="2" fillId="3" borderId="9" xfId="1" applyFont="1" applyFill="1" applyBorder="1" applyAlignment="1">
      <alignment horizontal="left" vertical="center" wrapText="1"/>
    </xf>
    <xf numFmtId="0" fontId="2" fillId="3" borderId="10" xfId="1" applyFont="1" applyFill="1" applyBorder="1" applyAlignment="1">
      <alignment horizontal="left" vertical="center" wrapText="1"/>
    </xf>
    <xf numFmtId="0" fontId="2" fillId="3" borderId="11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3" borderId="0" xfId="1" applyFont="1" applyFill="1" applyAlignment="1">
      <alignment horizontal="left" vertical="center" wrapText="1"/>
    </xf>
    <xf numFmtId="0" fontId="2" fillId="3" borderId="13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dDesignTable" displayName="CardDesignTable" ref="A5:X105" totalsRowShown="0">
  <tableColumns count="24">
    <tableColumn id="1" xr3:uid="{00000000-0010-0000-0000-000001000000}" name="Card ID"/>
    <tableColumn id="2" xr3:uid="{00000000-0010-0000-0000-000002000000}" name="卡名"/>
    <tableColumn id="3" xr3:uid="{00000000-0010-0000-0000-000003000000}" name="狀態"/>
    <tableColumn id="4" xr3:uid="{00000000-0010-0000-0000-000004000000}" name="卡牌類型"/>
    <tableColumn id="5" xr3:uid="{00000000-0010-0000-0000-000005000000}" name="正規欄位"/>
    <tableColumn id="6" xr3:uid="{00000000-0010-0000-0000-000006000000}" name="階段"/>
    <tableColumn id="7" xr3:uid="{00000000-0010-0000-0000-000007000000}" name="稀有度"/>
    <tableColumn id="8" xr3:uid="{00000000-0010-0000-0000-000008000000}" name="取得來源"/>
    <tableColumn id="9" xr3:uid="{00000000-0010-0000-0000-000009000000}" name="能量"/>
    <tableColumn id="10" xr3:uid="{00000000-0010-0000-0000-00000A000000}" name="使用次數"/>
    <tableColumn id="11" xr3:uid="{00000000-0010-0000-0000-00000B000000}" name="食物成本"/>
    <tableColumn id="12" xr3:uid="{00000000-0010-0000-0000-00000C000000}" name="資源成本"/>
    <tableColumn id="13" xr3:uid="{00000000-0010-0000-0000-00000D000000}" name="獲得食物"/>
    <tableColumn id="14" xr3:uid="{00000000-0010-0000-0000-00000E000000}" name="獲得臨時食物"/>
    <tableColumn id="15" xr3:uid="{00000000-0010-0000-0000-00000F000000}" name="獲得資源"/>
    <tableColumn id="16" xr3:uid="{00000000-0010-0000-0000-000010000000}" name="獲得戰鬥力"/>
    <tableColumn id="17" xr3:uid="{00000000-0010-0000-0000-000011000000}" name="士氣變化"/>
    <tableColumn id="18" xr3:uid="{00000000-0010-0000-0000-000012000000}" name="替換機會"/>
    <tableColumn id="19" xr3:uid="{00000000-0010-0000-0000-000013000000}" name="特殊效果"/>
    <tableColumn id="20" xr3:uid="{00000000-0010-0000-0000-000014000000}" name="風險/副作用"/>
    <tableColumn id="21" xr3:uid="{00000000-0010-0000-0000-000015000000}" name="設計意圖"/>
    <tableColumn id="22" xr3:uid="{00000000-0010-0000-0000-000016000000}" name="測試重點"/>
    <tableColumn id="23" xr3:uid="{00000000-0010-0000-0000-000017000000}" name="Rough Score"/>
    <tableColumn id="24" xr3:uid="{00000000-0010-0000-0000-000018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表格6" displayName="表格6" ref="A1:A1048576" totalsRowShown="0">
  <autoFilter ref="A1:A1048576" xr:uid="{00000000-0009-0000-0100-000006000000}"/>
  <tableColumns count="1">
    <tableColumn id="1" xr3:uid="{00000000-0010-0000-0100-000001000000}" name="事件ID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表格7" displayName="表格7" ref="B1:Z1048576" totalsRowShown="0">
  <autoFilter ref="B1:Z1048576" xr:uid="{00000000-0009-0000-0100-000007000000}"/>
  <tableColumns count="25">
    <tableColumn id="22" xr3:uid="{00000000-0010-0000-0200-000016000000}" name="事件名稱"/>
    <tableColumn id="25" xr3:uid="{00000000-0010-0000-0200-000019000000}" name="事件分類"/>
    <tableColumn id="1" xr3:uid="{00000000-0010-0000-0200-000001000000}" name="正負分類"/>
    <tableColumn id="2" xr3:uid="{00000000-0010-0000-0200-000002000000}" name="影響程度"/>
    <tableColumn id="3" xr3:uid="{00000000-0010-0000-0200-000003000000}" name="最早"/>
    <tableColumn id="26" xr3:uid="{00000000-0010-0000-0200-00001A000000}" name="最晚天數"/>
    <tableColumn id="4" xr3:uid="{00000000-0010-0000-0200-000004000000}" name="權重1~100"/>
    <tableColumn id="5" xr3:uid="{00000000-0010-0000-0200-000005000000}" name="是否一局一次"/>
    <tableColumn id="6" xr3:uid="{00000000-0010-0000-0200-000006000000}" name="冷卻天數"/>
    <tableColumn id="7" xr3:uid="{00000000-0010-0000-0200-000007000000}" name="前置條件"/>
    <tableColumn id="24" xr3:uid="{00000000-0010-0000-0200-000018000000}" name="特殊規則"/>
    <tableColumn id="8" xr3:uid="{00000000-0010-0000-0200-000008000000}" name="選擇欄位1"/>
    <tableColumn id="9" xr3:uid="{00000000-0010-0000-0200-000009000000}" name="選擇欄位2"/>
    <tableColumn id="10" xr3:uid="{00000000-0010-0000-0200-00000A000000}" name="選擇欄位3"/>
    <tableColumn id="11" xr3:uid="{00000000-0010-0000-0200-00000B000000}" name="文本"/>
    <tableColumn id="12" xr3:uid="{00000000-0010-0000-0200-00000C000000}" name="選擇欄位1文本"/>
    <tableColumn id="13" xr3:uid="{00000000-0010-0000-0200-00000D000000}" name="選擇欄位2文本"/>
    <tableColumn id="14" xr3:uid="{00000000-0010-0000-0200-00000E000000}" name="選擇欄位3文本"/>
    <tableColumn id="15" xr3:uid="{00000000-0010-0000-0200-00000F000000}" name="選擇欄位1內容文本"/>
    <tableColumn id="16" xr3:uid="{00000000-0010-0000-0200-000010000000}" name="選擇欄位2 內容文本"/>
    <tableColumn id="17" xr3:uid="{00000000-0010-0000-0200-000011000000}" name="選擇欄位3內容文本"/>
    <tableColumn id="18" xr3:uid="{00000000-0010-0000-0200-000012000000}" name="欄18"/>
    <tableColumn id="19" xr3:uid="{00000000-0010-0000-0200-000013000000}" name="欄19"/>
    <tableColumn id="20" xr3:uid="{00000000-0010-0000-0200-000014000000}" name="欄20"/>
    <tableColumn id="21" xr3:uid="{00000000-0010-0000-0200-000015000000}" name="欄2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格8" displayName="表格8" ref="A1:Z35" totalsRowShown="0">
  <autoFilter ref="A1:Z35" xr:uid="{00000000-0009-0000-0100-000008000000}"/>
  <tableColumns count="26">
    <tableColumn id="1" xr3:uid="{00000000-0010-0000-0300-000001000000}" name="Region ID"/>
    <tableColumn id="2" xr3:uid="{00000000-0010-0000-0300-000002000000}" name="地區名稱"/>
    <tableColumn id="3" xr3:uid="{00000000-0010-0000-0300-000003000000}" name="階級"/>
    <tableColumn id="4" xr3:uid="{00000000-0010-0000-0300-000004000000}" name="基礎危險"/>
    <tableColumn id="5" xr3:uid="{00000000-0010-0000-0300-000005000000}" name="殭屍總量"/>
    <tableColumn id="6" xr3:uid="{00000000-0010-0000-0300-000006000000}" name="基礎遭遇率"/>
    <tableColumn id="7" xr3:uid="{00000000-0010-0000-0300-000007000000}" name="每次熱度"/>
    <tableColumn id="8" xr3:uid="{00000000-0010-0000-0300-000008000000}" name="每日衰減"/>
    <tableColumn id="9" xr3:uid="{00000000-0010-0000-0300-000009000000}" name="欄9"/>
    <tableColumn id="10" xr3:uid="{00000000-0010-0000-0300-00000A000000}" name="欄10"/>
    <tableColumn id="11" xr3:uid="{00000000-0010-0000-0300-00000B000000}" name="欄11"/>
    <tableColumn id="12" xr3:uid="{00000000-0010-0000-0300-00000C000000}" name="欄12"/>
    <tableColumn id="13" xr3:uid="{00000000-0010-0000-0300-00000D000000}" name="欄13"/>
    <tableColumn id="14" xr3:uid="{00000000-0010-0000-0300-00000E000000}" name="欄14"/>
    <tableColumn id="15" xr3:uid="{00000000-0010-0000-0300-00000F000000}" name="欄15"/>
    <tableColumn id="16" xr3:uid="{00000000-0010-0000-0300-000010000000}" name="欄16"/>
    <tableColumn id="17" xr3:uid="{00000000-0010-0000-0300-000011000000}" name="欄17"/>
    <tableColumn id="18" xr3:uid="{00000000-0010-0000-0300-000012000000}" name="欄18"/>
    <tableColumn id="19" xr3:uid="{00000000-0010-0000-0300-000013000000}" name="欄19"/>
    <tableColumn id="20" xr3:uid="{00000000-0010-0000-0300-000014000000}" name="欄20"/>
    <tableColumn id="21" xr3:uid="{00000000-0010-0000-0300-000015000000}" name="欄21"/>
    <tableColumn id="22" xr3:uid="{00000000-0010-0000-0300-000016000000}" name="欄22"/>
    <tableColumn id="23" xr3:uid="{00000000-0010-0000-0300-000017000000}" name="欄23"/>
    <tableColumn id="24" xr3:uid="{00000000-0010-0000-0300-000018000000}" name="欄24"/>
    <tableColumn id="25" xr3:uid="{00000000-0010-0000-0300-000019000000}" name="欄25"/>
    <tableColumn id="26" xr3:uid="{00000000-0010-0000-0300-00001A000000}" name="欄2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表格8_10" displayName="表格8_10" ref="A1:Z36" totalsRowShown="0">
  <autoFilter ref="A1:Z36" xr:uid="{00000000-0009-0000-0100-000009000000}"/>
  <tableColumns count="26">
    <tableColumn id="1" xr3:uid="{00000000-0010-0000-0400-000001000000}" name="Region ID"/>
    <tableColumn id="2" xr3:uid="{00000000-0010-0000-0400-000002000000}" name="Pack ID"/>
    <tableColumn id="3" xr3:uid="{00000000-0010-0000-0400-000003000000}" name="卡包名稱"/>
    <tableColumn id="4" xr3:uid="{00000000-0010-0000-0400-000004000000}" name="地區供應稀有度"/>
    <tableColumn id="5" xr3:uid="{00000000-0010-0000-0400-000005000000}" name="初始數量"/>
    <tableColumn id="6" xr3:uid="{00000000-0010-0000-0400-000006000000}" name="基礎權重"/>
    <tableColumn id="7" xr3:uid="{00000000-0010-0000-0400-000007000000}" name="剩餘數量"/>
    <tableColumn id="8" xr3:uid="{00000000-0010-0000-0400-000008000000}" name="欄8"/>
    <tableColumn id="9" xr3:uid="{00000000-0010-0000-0400-000009000000}" name="欄9"/>
    <tableColumn id="10" xr3:uid="{00000000-0010-0000-0400-00000A000000}" name="欄10"/>
    <tableColumn id="11" xr3:uid="{00000000-0010-0000-0400-00000B000000}" name="欄11"/>
    <tableColumn id="12" xr3:uid="{00000000-0010-0000-0400-00000C000000}" name="欄12"/>
    <tableColumn id="13" xr3:uid="{00000000-0010-0000-0400-00000D000000}" name="欄13"/>
    <tableColumn id="14" xr3:uid="{00000000-0010-0000-0400-00000E000000}" name="欄14"/>
    <tableColumn id="15" xr3:uid="{00000000-0010-0000-0400-00000F000000}" name="欄15"/>
    <tableColumn id="16" xr3:uid="{00000000-0010-0000-0400-000010000000}" name="欄16"/>
    <tableColumn id="17" xr3:uid="{00000000-0010-0000-0400-000011000000}" name="欄17"/>
    <tableColumn id="18" xr3:uid="{00000000-0010-0000-0400-000012000000}" name="欄18"/>
    <tableColumn id="19" xr3:uid="{00000000-0010-0000-0400-000013000000}" name="欄19"/>
    <tableColumn id="20" xr3:uid="{00000000-0010-0000-0400-000014000000}" name="欄20"/>
    <tableColumn id="21" xr3:uid="{00000000-0010-0000-0400-000015000000}" name="欄21"/>
    <tableColumn id="22" xr3:uid="{00000000-0010-0000-0400-000016000000}" name="欄22"/>
    <tableColumn id="23" xr3:uid="{00000000-0010-0000-0400-000017000000}" name="欄23"/>
    <tableColumn id="24" xr3:uid="{00000000-0010-0000-0400-000018000000}" name="欄24"/>
    <tableColumn id="25" xr3:uid="{00000000-0010-0000-0400-000019000000}" name="欄25"/>
    <tableColumn id="26" xr3:uid="{00000000-0010-0000-0400-00001A000000}" name="欄2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EffectDictionaryTable" displayName="EffectDictionaryTable" ref="A5:F21" totalsRowShown="0">
  <tableColumns count="6">
    <tableColumn id="1" xr3:uid="{00000000-0010-0000-0500-000001000000}" name="分類"/>
    <tableColumn id="2" xr3:uid="{00000000-0010-0000-0500-000002000000}" name="效果名稱"/>
    <tableColumn id="3" xr3:uid="{00000000-0010-0000-0500-000003000000}" name="建議寫法"/>
    <tableColumn id="4" xr3:uid="{00000000-0010-0000-0500-000004000000}" name="目前系統支援"/>
    <tableColumn id="5" xr3:uid="{00000000-0010-0000-0500-000005000000}" name="常見用途"/>
    <tableColumn id="6" xr3:uid="{00000000-0010-0000-0500-000006000000}" name="備註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SourcesAndPacksTable" displayName="SourcesAndPacksTable" ref="A5:H12" totalsRowShown="0">
  <tableColumns count="8">
    <tableColumn id="1" xr3:uid="{00000000-0010-0000-0600-000001000000}" name="來源"/>
    <tableColumn id="2" xr3:uid="{00000000-0010-0000-0600-000002000000}" name="解鎖時機"/>
    <tableColumn id="3" xr3:uid="{00000000-0010-0000-0600-000003000000}" name="主要卡牌類型"/>
    <tableColumn id="4" xr3:uid="{00000000-0010-0000-0600-000004000000}" name="推薦強度"/>
    <tableColumn id="5" xr3:uid="{00000000-0010-0000-0600-000005000000}" name="風險"/>
    <tableColumn id="6" xr3:uid="{00000000-0010-0000-0600-000006000000}" name="設計目的"/>
    <tableColumn id="7" xr3:uid="{00000000-0010-0000-0600-000007000000}" name="範例"/>
    <tableColumn id="8" xr3:uid="{00000000-0010-0000-0600-000008000000}" name="備註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CardPackDefinitions" displayName="CardPackDefinitions" ref="A5:N10" totalsRowShown="0">
  <tableColumns count="14">
    <tableColumn id="1" xr3:uid="{00000000-0010-0000-0700-000001000000}" name="Pack ID"/>
    <tableColumn id="2" xr3:uid="{00000000-0010-0000-0700-000002000000}" name="卡包名稱"/>
    <tableColumn id="3" xr3:uid="{00000000-0010-0000-0700-000003000000}" name="狀態"/>
    <tableColumn id="4" xr3:uid="{00000000-0010-0000-0700-000004000000}" name="卡包類型"/>
    <tableColumn id="5" xr3:uid="{00000000-0010-0000-0700-000005000000}" name="階段"/>
    <tableColumn id="6" xr3:uid="{00000000-0010-0000-0700-000006000000}" name="稀有度"/>
    <tableColumn id="7" xr3:uid="{00000000-0010-0000-0700-000007000000}" name="來源/地區"/>
    <tableColumn id="8" xr3:uid="{00000000-0010-0000-0700-000008000000}" name="每包張數"/>
    <tableColumn id="9" xr3:uid="{00000000-0010-0000-0700-000009000000}" name="是否可重複"/>
    <tableColumn id="10" xr3:uid="{00000000-0010-0000-0700-00000A000000}" name="正常卡去向"/>
    <tableColumn id="11" xr3:uid="{00000000-0010-0000-0700-00000B000000}" name="殭屍卡去向"/>
    <tableColumn id="12" xr3:uid="{00000000-0010-0000-0700-00000C000000}" name="風險設計"/>
    <tableColumn id="13" xr3:uid="{00000000-0010-0000-0700-00000D000000}" name="設計意圖"/>
    <tableColumn id="14" xr3:uid="{00000000-0010-0000-0700-00000E000000}" name="備註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CardPackEntries" displayName="CardPackEntries" ref="A12:N80" totalsRowShown="0">
  <tableColumns count="14">
    <tableColumn id="1" xr3:uid="{00000000-0010-0000-0800-000001000000}" name="Pack ID"/>
    <tableColumn id="2" xr3:uid="{00000000-0010-0000-0800-000002000000}" name="Entry ID"/>
    <tableColumn id="3" xr3:uid="{00000000-0010-0000-0800-000003000000}" name="卡名"/>
    <tableColumn id="4" xr3:uid="{00000000-0010-0000-0800-000004000000}" name="Card ID"/>
    <tableColumn id="5" xr3:uid="{00000000-0010-0000-0800-000005000000}" name="卡牌類型"/>
    <tableColumn id="6" xr3:uid="{00000000-0010-0000-0800-000006000000}" name="稀有度"/>
    <tableColumn id="7" xr3:uid="{00000000-0010-0000-0800-000007000000}" name="權重"/>
    <tableColumn id="8" xr3:uid="{00000000-0010-0000-0800-000008000000}" name="最小張數"/>
    <tableColumn id="9" xr3:uid="{00000000-0010-0000-0800-000009000000}" name="最大張數"/>
    <tableColumn id="10" xr3:uid="{00000000-0010-0000-0800-00000A000000}" name="是否地區限定"/>
    <tableColumn id="11" xr3:uid="{00000000-0010-0000-0800-00000B000000}" name="限定地區"/>
    <tableColumn id="12" xr3:uid="{00000000-0010-0000-0800-00000C000000}" name="抽到後去向"/>
    <tableColumn id="13" xr3:uid="{00000000-0010-0000-0800-00000D000000}" name="設計備註"/>
    <tableColumn id="14" xr3:uid="{00000000-0010-0000-0800-00000E000000}" name="測試重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sqref="A1:H1"/>
    </sheetView>
  </sheetViews>
  <sheetFormatPr defaultRowHeight="14.25"/>
  <cols>
    <col min="1" max="1" width="18" customWidth="1"/>
    <col min="2" max="2" width="42" customWidth="1"/>
    <col min="3" max="3" width="4" customWidth="1"/>
    <col min="4" max="4" width="18" customWidth="1"/>
    <col min="5" max="5" width="14" customWidth="1"/>
    <col min="6" max="6" width="26" customWidth="1"/>
    <col min="7" max="7" width="16" customWidth="1"/>
    <col min="8" max="8" width="30" customWidth="1"/>
  </cols>
  <sheetData>
    <row r="1" spans="1:8" ht="27.95" customHeight="1">
      <c r="A1" s="24" t="s">
        <v>0</v>
      </c>
      <c r="B1" s="24" t="s">
        <v>0</v>
      </c>
      <c r="C1" s="24" t="s">
        <v>0</v>
      </c>
      <c r="D1" s="24" t="s">
        <v>0</v>
      </c>
      <c r="E1" s="24" t="s">
        <v>0</v>
      </c>
      <c r="F1" s="24" t="s">
        <v>0</v>
      </c>
      <c r="G1" s="24" t="s">
        <v>0</v>
      </c>
      <c r="H1" s="24" t="s">
        <v>0</v>
      </c>
    </row>
    <row r="3" spans="1:8" ht="32.1" customHeight="1">
      <c r="A3" s="25" t="s">
        <v>1</v>
      </c>
      <c r="B3" s="26" t="s">
        <v>1</v>
      </c>
      <c r="C3" s="26" t="s">
        <v>1</v>
      </c>
      <c r="D3" s="26" t="s">
        <v>1</v>
      </c>
      <c r="E3" s="26" t="s">
        <v>1</v>
      </c>
      <c r="F3" s="26" t="s">
        <v>1</v>
      </c>
      <c r="G3" s="26" t="s">
        <v>1</v>
      </c>
      <c r="H3" s="27" t="s">
        <v>1</v>
      </c>
    </row>
    <row r="5" spans="1:8" ht="26.1" customHeight="1">
      <c r="A5" s="1" t="s">
        <v>2</v>
      </c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26.1" customHeight="1">
      <c r="A6" s="2" t="s">
        <v>8</v>
      </c>
      <c r="B6" s="2" t="s">
        <v>9</v>
      </c>
      <c r="C6" s="2"/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ht="26.1" customHeight="1">
      <c r="A7" s="2" t="s">
        <v>15</v>
      </c>
      <c r="B7" s="2" t="s">
        <v>16</v>
      </c>
      <c r="C7" s="2"/>
      <c r="D7" s="2" t="s">
        <v>17</v>
      </c>
      <c r="E7" s="2" t="s">
        <v>11</v>
      </c>
      <c r="F7" s="2" t="s">
        <v>18</v>
      </c>
      <c r="G7" s="2" t="s">
        <v>13</v>
      </c>
      <c r="H7" s="2" t="s">
        <v>19</v>
      </c>
    </row>
    <row r="8" spans="1:8" ht="26.1" customHeight="1">
      <c r="A8" s="2" t="s">
        <v>20</v>
      </c>
      <c r="B8" s="2" t="s">
        <v>21</v>
      </c>
      <c r="C8" s="2"/>
      <c r="D8" s="2" t="s">
        <v>22</v>
      </c>
      <c r="E8" s="2" t="s">
        <v>23</v>
      </c>
      <c r="F8" s="2" t="s">
        <v>24</v>
      </c>
      <c r="G8" s="2" t="s">
        <v>13</v>
      </c>
      <c r="H8" s="2" t="s">
        <v>25</v>
      </c>
    </row>
    <row r="9" spans="1:8" ht="26.1" customHeight="1">
      <c r="A9" s="2" t="s">
        <v>26</v>
      </c>
      <c r="B9" s="2" t="s">
        <v>27</v>
      </c>
      <c r="C9" s="2"/>
      <c r="D9" s="2" t="s">
        <v>28</v>
      </c>
      <c r="E9" s="2" t="s">
        <v>29</v>
      </c>
      <c r="F9" s="2" t="s">
        <v>30</v>
      </c>
      <c r="G9" s="2" t="s">
        <v>13</v>
      </c>
      <c r="H9" s="2" t="s">
        <v>31</v>
      </c>
    </row>
    <row r="10" spans="1:8" ht="26.1" customHeight="1">
      <c r="A10" s="2" t="s">
        <v>32</v>
      </c>
      <c r="B10" s="2" t="s">
        <v>33</v>
      </c>
      <c r="C10" s="2"/>
      <c r="D10" s="2" t="s">
        <v>34</v>
      </c>
      <c r="E10" s="2" t="s">
        <v>29</v>
      </c>
      <c r="F10" s="2" t="s">
        <v>35</v>
      </c>
      <c r="G10" s="2" t="s">
        <v>36</v>
      </c>
      <c r="H10" s="2" t="s">
        <v>37</v>
      </c>
    </row>
    <row r="11" spans="1:8" ht="26.1" customHeight="1">
      <c r="A11" s="2" t="s">
        <v>38</v>
      </c>
      <c r="B11" s="2" t="s">
        <v>39</v>
      </c>
      <c r="C11" s="2"/>
      <c r="D11" s="2" t="s">
        <v>40</v>
      </c>
      <c r="E11" s="2" t="s">
        <v>41</v>
      </c>
      <c r="F11" s="2" t="s">
        <v>42</v>
      </c>
      <c r="G11" s="2" t="s">
        <v>36</v>
      </c>
      <c r="H11" s="2" t="s">
        <v>43</v>
      </c>
    </row>
    <row r="12" spans="1:8" ht="26.1" customHeight="1">
      <c r="A12" s="2" t="s">
        <v>44</v>
      </c>
      <c r="B12" s="2" t="s">
        <v>45</v>
      </c>
      <c r="C12" s="2"/>
      <c r="D12" s="2" t="s">
        <v>46</v>
      </c>
      <c r="E12" s="2" t="s">
        <v>41</v>
      </c>
      <c r="F12" s="2" t="s">
        <v>47</v>
      </c>
      <c r="G12" s="2" t="s">
        <v>36</v>
      </c>
      <c r="H12" s="2" t="s">
        <v>48</v>
      </c>
    </row>
    <row r="13" spans="1:8" ht="26.1" customHeight="1">
      <c r="A13" s="2" t="s">
        <v>49</v>
      </c>
      <c r="B13" s="2" t="s">
        <v>50</v>
      </c>
      <c r="C13" s="2"/>
      <c r="D13" s="2" t="s">
        <v>51</v>
      </c>
      <c r="E13" s="2" t="s">
        <v>52</v>
      </c>
      <c r="F13" s="2" t="s">
        <v>53</v>
      </c>
      <c r="G13" s="2" t="s">
        <v>54</v>
      </c>
      <c r="H13" s="2" t="s">
        <v>55</v>
      </c>
    </row>
    <row r="14" spans="1:8" ht="26.1" customHeight="1">
      <c r="A14" s="2" t="s">
        <v>7</v>
      </c>
      <c r="B14" s="2" t="s">
        <v>56</v>
      </c>
      <c r="C14" s="2"/>
      <c r="D14" s="2"/>
      <c r="E14" s="2"/>
      <c r="F14" s="2"/>
      <c r="G14" s="2"/>
      <c r="H14" s="2"/>
    </row>
  </sheetData>
  <mergeCells count="2">
    <mergeCell ref="A1:H1"/>
    <mergeCell ref="A3:H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5"/>
  <sheetViews>
    <sheetView showGridLines="0" workbookViewId="0"/>
  </sheetViews>
  <sheetFormatPr defaultRowHeight="14.25"/>
  <cols>
    <col min="1" max="1" width="18" customWidth="1"/>
    <col min="2" max="2" width="24" customWidth="1"/>
    <col min="3" max="3" width="12" customWidth="1"/>
    <col min="4" max="5" width="14" customWidth="1"/>
    <col min="6" max="7" width="12" customWidth="1"/>
    <col min="8" max="8" width="18" customWidth="1"/>
    <col min="9" max="9" width="8" customWidth="1"/>
    <col min="10" max="10" width="12" customWidth="1"/>
    <col min="11" max="13" width="10" customWidth="1"/>
    <col min="14" max="14" width="12" customWidth="1"/>
    <col min="15" max="15" width="10" customWidth="1"/>
    <col min="16" max="16" width="12" customWidth="1"/>
    <col min="17" max="18" width="10" customWidth="1"/>
    <col min="19" max="19" width="36" customWidth="1"/>
    <col min="20" max="20" width="28" customWidth="1"/>
    <col min="21" max="22" width="42" customWidth="1"/>
    <col min="23" max="23" width="12" customWidth="1"/>
    <col min="24" max="24" width="32" customWidth="1"/>
  </cols>
  <sheetData>
    <row r="1" spans="1:24" ht="27.95" customHeight="1">
      <c r="A1" s="28" t="s">
        <v>57</v>
      </c>
      <c r="B1" s="28" t="s">
        <v>58</v>
      </c>
      <c r="C1" s="28" t="s">
        <v>58</v>
      </c>
      <c r="D1" s="28" t="s">
        <v>58</v>
      </c>
      <c r="E1" s="28" t="s">
        <v>58</v>
      </c>
      <c r="F1" s="28" t="s">
        <v>58</v>
      </c>
      <c r="G1" s="28" t="s">
        <v>58</v>
      </c>
      <c r="H1" s="28" t="s">
        <v>58</v>
      </c>
      <c r="I1" s="28" t="s">
        <v>58</v>
      </c>
      <c r="J1" s="28" t="s">
        <v>58</v>
      </c>
      <c r="K1" s="28" t="s">
        <v>58</v>
      </c>
      <c r="L1" s="28" t="s">
        <v>58</v>
      </c>
      <c r="M1" s="28" t="s">
        <v>58</v>
      </c>
      <c r="N1" s="28" t="s">
        <v>58</v>
      </c>
      <c r="O1" s="28" t="s">
        <v>58</v>
      </c>
      <c r="P1" s="28" t="s">
        <v>58</v>
      </c>
      <c r="Q1" s="28" t="s">
        <v>58</v>
      </c>
      <c r="R1" s="28" t="s">
        <v>58</v>
      </c>
      <c r="S1" s="28" t="s">
        <v>58</v>
      </c>
      <c r="T1" s="28" t="s">
        <v>58</v>
      </c>
      <c r="U1" s="28" t="s">
        <v>58</v>
      </c>
      <c r="V1" s="28" t="s">
        <v>58</v>
      </c>
      <c r="W1" s="28" t="s">
        <v>58</v>
      </c>
      <c r="X1" s="28" t="s">
        <v>58</v>
      </c>
    </row>
    <row r="3" spans="1:24" ht="36" customHeight="1">
      <c r="A3" s="25" t="s">
        <v>59</v>
      </c>
      <c r="B3" s="26" t="s">
        <v>59</v>
      </c>
      <c r="C3" s="26" t="s">
        <v>59</v>
      </c>
      <c r="D3" s="26" t="s">
        <v>59</v>
      </c>
      <c r="E3" s="26" t="s">
        <v>59</v>
      </c>
      <c r="F3" s="26" t="s">
        <v>59</v>
      </c>
      <c r="G3" s="26" t="s">
        <v>59</v>
      </c>
      <c r="H3" s="26" t="s">
        <v>59</v>
      </c>
      <c r="I3" s="26" t="s">
        <v>59</v>
      </c>
      <c r="J3" s="26" t="s">
        <v>59</v>
      </c>
      <c r="K3" s="26" t="s">
        <v>59</v>
      </c>
      <c r="L3" s="26" t="s">
        <v>59</v>
      </c>
      <c r="M3" s="26" t="s">
        <v>59</v>
      </c>
      <c r="N3" s="26" t="s">
        <v>59</v>
      </c>
      <c r="O3" s="26" t="s">
        <v>59</v>
      </c>
      <c r="P3" s="26" t="s">
        <v>59</v>
      </c>
      <c r="Q3" s="26" t="s">
        <v>59</v>
      </c>
      <c r="R3" s="26" t="s">
        <v>59</v>
      </c>
      <c r="S3" s="26" t="s">
        <v>59</v>
      </c>
      <c r="T3" s="26" t="s">
        <v>59</v>
      </c>
      <c r="U3" s="26" t="s">
        <v>59</v>
      </c>
      <c r="V3" s="26" t="s">
        <v>59</v>
      </c>
      <c r="W3" s="26" t="s">
        <v>59</v>
      </c>
      <c r="X3" s="27" t="s">
        <v>59</v>
      </c>
    </row>
    <row r="5" spans="1:24" ht="27.95" customHeight="1">
      <c r="A5" s="1" t="s">
        <v>60</v>
      </c>
      <c r="B5" s="1" t="s">
        <v>8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7</v>
      </c>
    </row>
    <row r="6" spans="1:24" ht="38.1" customHeight="1">
      <c r="A6" s="5" t="s">
        <v>82</v>
      </c>
      <c r="B6" s="5" t="s">
        <v>83</v>
      </c>
      <c r="C6" s="5" t="s">
        <v>84</v>
      </c>
      <c r="D6" s="5" t="s">
        <v>85</v>
      </c>
      <c r="E6" s="5" t="s">
        <v>85</v>
      </c>
      <c r="F6" s="5" t="s">
        <v>86</v>
      </c>
      <c r="G6" s="5" t="s">
        <v>87</v>
      </c>
      <c r="H6" s="5" t="s">
        <v>88</v>
      </c>
      <c r="I6" s="4">
        <v>1</v>
      </c>
      <c r="J6" s="4"/>
      <c r="K6" s="4">
        <v>0</v>
      </c>
      <c r="L6" s="4">
        <v>0</v>
      </c>
      <c r="M6" s="4"/>
      <c r="N6" s="4">
        <v>2</v>
      </c>
      <c r="O6" s="4">
        <v>0</v>
      </c>
      <c r="P6" s="4">
        <v>0</v>
      </c>
      <c r="Q6" s="4">
        <v>0</v>
      </c>
      <c r="R6" s="4">
        <v>0</v>
      </c>
      <c r="S6" s="6" t="s">
        <v>89</v>
      </c>
      <c r="T6" s="6"/>
      <c r="U6" s="6" t="s">
        <v>90</v>
      </c>
      <c r="V6" s="6" t="s">
        <v>91</v>
      </c>
      <c r="W6" s="7">
        <f t="shared" ref="W6:W37" si="0">IF(COUNTA(A6:V6)=0,"",N(M6)/2+N(N6)/3+N(O6)+N(P6)*1.5+N(Q6)/5+N(R6)*2-N(I6)-N(K6)*0.5-N(L6))</f>
        <v>-0.33333333333333337</v>
      </c>
      <c r="X6" s="6"/>
    </row>
    <row r="7" spans="1:24" ht="38.1" customHeight="1">
      <c r="A7" s="5" t="s">
        <v>92</v>
      </c>
      <c r="B7" s="5" t="s">
        <v>93</v>
      </c>
      <c r="C7" s="5" t="s">
        <v>84</v>
      </c>
      <c r="D7" s="5" t="s">
        <v>94</v>
      </c>
      <c r="E7" s="5" t="s">
        <v>94</v>
      </c>
      <c r="F7" s="5" t="s">
        <v>86</v>
      </c>
      <c r="G7" s="5" t="s">
        <v>87</v>
      </c>
      <c r="H7" s="5" t="s">
        <v>88</v>
      </c>
      <c r="I7" s="4">
        <v>2</v>
      </c>
      <c r="J7" s="4"/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6" t="s">
        <v>95</v>
      </c>
      <c r="T7" s="6"/>
      <c r="U7" s="6" t="s">
        <v>96</v>
      </c>
      <c r="V7" s="6" t="s">
        <v>97</v>
      </c>
      <c r="W7" s="7">
        <f t="shared" si="0"/>
        <v>-1</v>
      </c>
      <c r="X7" s="6"/>
    </row>
    <row r="8" spans="1:24" ht="38.1" customHeight="1">
      <c r="A8" s="5" t="s">
        <v>98</v>
      </c>
      <c r="B8" s="5" t="s">
        <v>99</v>
      </c>
      <c r="C8" s="5" t="s">
        <v>84</v>
      </c>
      <c r="D8" s="5" t="s">
        <v>100</v>
      </c>
      <c r="E8" s="5" t="s">
        <v>100</v>
      </c>
      <c r="F8" s="5" t="s">
        <v>86</v>
      </c>
      <c r="G8" s="5" t="s">
        <v>87</v>
      </c>
      <c r="H8" s="5" t="s">
        <v>88</v>
      </c>
      <c r="I8" s="4">
        <v>3</v>
      </c>
      <c r="J8" s="4"/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</v>
      </c>
      <c r="Q8" s="4">
        <v>0</v>
      </c>
      <c r="R8" s="4">
        <v>0</v>
      </c>
      <c r="S8" s="6" t="s">
        <v>101</v>
      </c>
      <c r="T8" s="6"/>
      <c r="U8" s="6" t="s">
        <v>102</v>
      </c>
      <c r="V8" s="6" t="s">
        <v>103</v>
      </c>
      <c r="W8" s="7">
        <f t="shared" si="0"/>
        <v>0</v>
      </c>
      <c r="X8" s="6"/>
    </row>
    <row r="9" spans="1:24" ht="38.1" customHeight="1">
      <c r="A9" s="5"/>
      <c r="B9" s="5" t="s">
        <v>104</v>
      </c>
      <c r="C9" s="5" t="s">
        <v>84</v>
      </c>
      <c r="D9" s="5" t="s">
        <v>105</v>
      </c>
      <c r="E9" s="5" t="s">
        <v>106</v>
      </c>
      <c r="F9" s="5" t="s">
        <v>86</v>
      </c>
      <c r="G9" s="5" t="s">
        <v>87</v>
      </c>
      <c r="H9" s="5" t="s">
        <v>88</v>
      </c>
      <c r="I9" s="4">
        <v>0</v>
      </c>
      <c r="J9" s="4"/>
      <c r="K9" s="4"/>
      <c r="L9" s="4"/>
      <c r="M9" s="4"/>
      <c r="N9" s="4"/>
      <c r="O9" s="4"/>
      <c r="P9" s="4"/>
      <c r="Q9" s="4"/>
      <c r="R9" s="4"/>
      <c r="S9" s="6" t="s">
        <v>107</v>
      </c>
      <c r="T9" s="6"/>
      <c r="U9" s="6" t="s">
        <v>108</v>
      </c>
      <c r="V9" s="6" t="s">
        <v>109</v>
      </c>
      <c r="W9" s="7">
        <f t="shared" si="0"/>
        <v>0</v>
      </c>
      <c r="X9" s="6"/>
    </row>
    <row r="10" spans="1:24" ht="38.1" customHeight="1">
      <c r="A10" s="5" t="s">
        <v>110</v>
      </c>
      <c r="B10" s="5" t="s">
        <v>111</v>
      </c>
      <c r="C10" s="5" t="s">
        <v>84</v>
      </c>
      <c r="D10" s="5" t="s">
        <v>112</v>
      </c>
      <c r="E10" s="5" t="s">
        <v>112</v>
      </c>
      <c r="F10" s="5" t="s">
        <v>86</v>
      </c>
      <c r="G10" s="5" t="s">
        <v>113</v>
      </c>
      <c r="H10" s="5" t="s">
        <v>114</v>
      </c>
      <c r="I10" s="4">
        <v>1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6" t="s">
        <v>115</v>
      </c>
      <c r="T10" s="6" t="s">
        <v>116</v>
      </c>
      <c r="U10" s="6" t="s">
        <v>117</v>
      </c>
      <c r="V10" s="6" t="s">
        <v>118</v>
      </c>
      <c r="W10" s="7">
        <f t="shared" si="0"/>
        <v>-1</v>
      </c>
      <c r="X10" s="6"/>
    </row>
    <row r="11" spans="1:24" ht="38.1" customHeight="1">
      <c r="A11" s="5" t="s">
        <v>119</v>
      </c>
      <c r="B11" s="5" t="s">
        <v>120</v>
      </c>
      <c r="C11" s="5" t="s">
        <v>84</v>
      </c>
      <c r="D11" s="5" t="s">
        <v>121</v>
      </c>
      <c r="E11" s="5" t="s">
        <v>85</v>
      </c>
      <c r="F11" s="5" t="s">
        <v>86</v>
      </c>
      <c r="G11" s="5" t="s">
        <v>113</v>
      </c>
      <c r="H11" s="5" t="s">
        <v>114</v>
      </c>
      <c r="I11" s="4">
        <v>0</v>
      </c>
      <c r="J11" s="4">
        <v>3</v>
      </c>
      <c r="K11" s="4">
        <v>2</v>
      </c>
      <c r="L11" s="4">
        <v>0</v>
      </c>
      <c r="M11" s="4">
        <v>0</v>
      </c>
      <c r="N11" s="4">
        <v>6</v>
      </c>
      <c r="O11" s="4">
        <v>0</v>
      </c>
      <c r="P11" s="4">
        <v>0</v>
      </c>
      <c r="Q11" s="4">
        <v>0</v>
      </c>
      <c r="R11" s="4">
        <v>0</v>
      </c>
      <c r="S11" s="6" t="s">
        <v>122</v>
      </c>
      <c r="T11" s="6" t="s">
        <v>123</v>
      </c>
      <c r="U11" s="6" t="s">
        <v>124</v>
      </c>
      <c r="V11" s="6" t="s">
        <v>125</v>
      </c>
      <c r="W11" s="7">
        <f t="shared" si="0"/>
        <v>1</v>
      </c>
      <c r="X11" s="6"/>
    </row>
    <row r="12" spans="1:24" ht="38.1" customHeight="1">
      <c r="A12" s="5" t="s">
        <v>126</v>
      </c>
      <c r="B12" s="5" t="s">
        <v>127</v>
      </c>
      <c r="C12" s="5" t="s">
        <v>84</v>
      </c>
      <c r="D12" s="5" t="s">
        <v>128</v>
      </c>
      <c r="E12" s="5" t="s">
        <v>106</v>
      </c>
      <c r="F12" s="5" t="s">
        <v>86</v>
      </c>
      <c r="G12" s="5" t="s">
        <v>113</v>
      </c>
      <c r="H12" s="5" t="s">
        <v>114</v>
      </c>
      <c r="I12" s="4">
        <v>1</v>
      </c>
      <c r="J12" s="4"/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</v>
      </c>
      <c r="S12" s="6" t="s">
        <v>129</v>
      </c>
      <c r="T12" s="6"/>
      <c r="U12" s="6" t="s">
        <v>130</v>
      </c>
      <c r="V12" s="6" t="s">
        <v>131</v>
      </c>
      <c r="W12" s="7">
        <f t="shared" si="0"/>
        <v>1</v>
      </c>
      <c r="X12" s="6"/>
    </row>
    <row r="13" spans="1:24" ht="38.1" customHeight="1">
      <c r="A13" s="5" t="s">
        <v>132</v>
      </c>
      <c r="B13" s="5" t="s">
        <v>133</v>
      </c>
      <c r="C13" s="5" t="s">
        <v>84</v>
      </c>
      <c r="D13" s="5" t="s">
        <v>134</v>
      </c>
      <c r="E13" s="5" t="s">
        <v>135</v>
      </c>
      <c r="F13" s="5" t="s">
        <v>86</v>
      </c>
      <c r="G13" s="5" t="s">
        <v>113</v>
      </c>
      <c r="H13" s="5" t="s">
        <v>136</v>
      </c>
      <c r="I13" s="4">
        <v>0</v>
      </c>
      <c r="J13" s="4"/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-2</v>
      </c>
      <c r="R13" s="4">
        <v>0</v>
      </c>
      <c r="S13" s="6" t="s">
        <v>137</v>
      </c>
      <c r="T13" s="6" t="s">
        <v>138</v>
      </c>
      <c r="U13" s="6" t="s">
        <v>139</v>
      </c>
      <c r="V13" s="6" t="s">
        <v>140</v>
      </c>
      <c r="W13" s="7">
        <f t="shared" si="0"/>
        <v>-0.4</v>
      </c>
      <c r="X13" s="6"/>
    </row>
    <row r="14" spans="1:24" ht="38.1" customHeight="1">
      <c r="A14" s="5"/>
      <c r="B14" s="5" t="s">
        <v>141</v>
      </c>
      <c r="C14" s="5" t="s">
        <v>84</v>
      </c>
      <c r="D14" s="5" t="s">
        <v>85</v>
      </c>
      <c r="E14" s="5" t="s">
        <v>85</v>
      </c>
      <c r="F14" s="5" t="s">
        <v>86</v>
      </c>
      <c r="G14" s="5" t="s">
        <v>113</v>
      </c>
      <c r="H14" s="5" t="s">
        <v>142</v>
      </c>
      <c r="I14" s="4">
        <v>1</v>
      </c>
      <c r="J14" s="4">
        <v>2</v>
      </c>
      <c r="K14" s="4"/>
      <c r="L14" s="4"/>
      <c r="M14" s="4">
        <v>2</v>
      </c>
      <c r="N14" s="4"/>
      <c r="O14" s="4"/>
      <c r="P14" s="4"/>
      <c r="Q14" s="4"/>
      <c r="R14" s="4"/>
      <c r="S14" s="6" t="s">
        <v>143</v>
      </c>
      <c r="T14" s="6"/>
      <c r="U14" s="6" t="s">
        <v>144</v>
      </c>
      <c r="V14" s="6" t="s">
        <v>145</v>
      </c>
      <c r="W14" s="7">
        <f t="shared" si="0"/>
        <v>0</v>
      </c>
      <c r="X14" s="6"/>
    </row>
    <row r="15" spans="1:24" ht="38.1" customHeight="1">
      <c r="A15" s="5"/>
      <c r="B15" s="5" t="s">
        <v>146</v>
      </c>
      <c r="C15" s="5" t="s">
        <v>84</v>
      </c>
      <c r="D15" s="5" t="s">
        <v>85</v>
      </c>
      <c r="E15" s="5" t="s">
        <v>85</v>
      </c>
      <c r="F15" s="5" t="s">
        <v>86</v>
      </c>
      <c r="G15" s="5" t="s">
        <v>113</v>
      </c>
      <c r="H15" s="5" t="s">
        <v>142</v>
      </c>
      <c r="I15" s="4">
        <v>2</v>
      </c>
      <c r="J15" s="4">
        <v>4</v>
      </c>
      <c r="K15" s="4"/>
      <c r="L15" s="4"/>
      <c r="M15" s="4">
        <v>3</v>
      </c>
      <c r="N15" s="4"/>
      <c r="O15" s="4"/>
      <c r="P15" s="4"/>
      <c r="Q15" s="4"/>
      <c r="R15" s="4"/>
      <c r="S15" s="6" t="s">
        <v>147</v>
      </c>
      <c r="T15" s="6"/>
      <c r="U15" s="6" t="s">
        <v>148</v>
      </c>
      <c r="V15" s="6" t="s">
        <v>145</v>
      </c>
      <c r="W15" s="7">
        <f t="shared" si="0"/>
        <v>-0.5</v>
      </c>
      <c r="X15" s="6"/>
    </row>
    <row r="16" spans="1:24" ht="38.1" customHeight="1">
      <c r="A16" s="5"/>
      <c r="B16" s="5" t="s">
        <v>149</v>
      </c>
      <c r="C16" s="5" t="s">
        <v>84</v>
      </c>
      <c r="D16" s="5" t="s">
        <v>85</v>
      </c>
      <c r="E16" s="5" t="s">
        <v>85</v>
      </c>
      <c r="F16" s="5" t="s">
        <v>86</v>
      </c>
      <c r="G16" s="5" t="s">
        <v>113</v>
      </c>
      <c r="H16" s="5" t="s">
        <v>142</v>
      </c>
      <c r="I16" s="4">
        <v>1</v>
      </c>
      <c r="J16" s="4">
        <v>1</v>
      </c>
      <c r="K16" s="4"/>
      <c r="L16" s="4"/>
      <c r="M16" s="4">
        <v>2</v>
      </c>
      <c r="N16" s="4"/>
      <c r="O16" s="4"/>
      <c r="P16" s="4"/>
      <c r="Q16" s="4">
        <v>2</v>
      </c>
      <c r="R16" s="4"/>
      <c r="S16" s="6" t="s">
        <v>150</v>
      </c>
      <c r="T16" s="6"/>
      <c r="U16" s="6" t="s">
        <v>151</v>
      </c>
      <c r="V16" s="6" t="s">
        <v>145</v>
      </c>
      <c r="W16" s="7">
        <f t="shared" si="0"/>
        <v>0.39999999999999991</v>
      </c>
      <c r="X16" s="6"/>
    </row>
    <row r="17" spans="1:24" ht="38.1" customHeight="1">
      <c r="A17" s="5"/>
      <c r="B17" s="5" t="s">
        <v>152</v>
      </c>
      <c r="C17" s="5" t="s">
        <v>84</v>
      </c>
      <c r="D17" s="5" t="s">
        <v>85</v>
      </c>
      <c r="E17" s="5" t="s">
        <v>85</v>
      </c>
      <c r="F17" s="5" t="s">
        <v>86</v>
      </c>
      <c r="G17" s="5" t="s">
        <v>153</v>
      </c>
      <c r="H17" s="5" t="s">
        <v>142</v>
      </c>
      <c r="I17" s="4">
        <v>2</v>
      </c>
      <c r="J17" s="4">
        <v>2</v>
      </c>
      <c r="K17" s="4"/>
      <c r="L17" s="4"/>
      <c r="M17" s="4">
        <v>6</v>
      </c>
      <c r="N17" s="4"/>
      <c r="O17" s="4"/>
      <c r="P17" s="4"/>
      <c r="Q17" s="4"/>
      <c r="R17" s="4"/>
      <c r="S17" s="6" t="s">
        <v>154</v>
      </c>
      <c r="T17" s="6"/>
      <c r="U17" s="6" t="s">
        <v>155</v>
      </c>
      <c r="V17" s="6" t="s">
        <v>145</v>
      </c>
      <c r="W17" s="7">
        <f t="shared" si="0"/>
        <v>1</v>
      </c>
      <c r="X17" s="6" t="s">
        <v>156</v>
      </c>
    </row>
    <row r="18" spans="1:24" ht="38.1" customHeight="1">
      <c r="A18" s="5"/>
      <c r="B18" s="5" t="s">
        <v>157</v>
      </c>
      <c r="C18" s="5" t="s">
        <v>84</v>
      </c>
      <c r="D18" s="5" t="s">
        <v>94</v>
      </c>
      <c r="E18" s="5" t="s">
        <v>94</v>
      </c>
      <c r="F18" s="5" t="s">
        <v>86</v>
      </c>
      <c r="G18" s="5" t="s">
        <v>113</v>
      </c>
      <c r="H18" s="5" t="s">
        <v>158</v>
      </c>
      <c r="I18" s="4">
        <v>1</v>
      </c>
      <c r="J18" s="4">
        <v>4</v>
      </c>
      <c r="K18" s="4"/>
      <c r="L18" s="4"/>
      <c r="M18" s="4"/>
      <c r="N18" s="4"/>
      <c r="O18" s="4">
        <v>1</v>
      </c>
      <c r="P18" s="4"/>
      <c r="Q18" s="4"/>
      <c r="R18" s="4"/>
      <c r="S18" s="6" t="s">
        <v>159</v>
      </c>
      <c r="T18" s="6"/>
      <c r="U18" s="6" t="s">
        <v>160</v>
      </c>
      <c r="V18" s="6" t="s">
        <v>161</v>
      </c>
      <c r="W18" s="7">
        <f t="shared" si="0"/>
        <v>0</v>
      </c>
      <c r="X18" s="6"/>
    </row>
    <row r="19" spans="1:24" ht="38.1" customHeight="1">
      <c r="A19" s="5"/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7" t="str">
        <f t="shared" si="0"/>
        <v/>
      </c>
      <c r="X19" s="6"/>
    </row>
    <row r="20" spans="1:24" ht="38.1" customHeight="1">
      <c r="A20" s="5"/>
      <c r="B20" s="5" t="s">
        <v>162</v>
      </c>
      <c r="C20" s="5" t="s">
        <v>84</v>
      </c>
      <c r="D20" s="5" t="s">
        <v>94</v>
      </c>
      <c r="E20" s="5" t="s">
        <v>94</v>
      </c>
      <c r="F20" s="5" t="s">
        <v>86</v>
      </c>
      <c r="G20" s="5" t="s">
        <v>113</v>
      </c>
      <c r="H20" s="5" t="s">
        <v>158</v>
      </c>
      <c r="I20" s="4">
        <v>2</v>
      </c>
      <c r="J20" s="4">
        <v>1</v>
      </c>
      <c r="K20" s="4"/>
      <c r="L20" s="4"/>
      <c r="M20" s="4"/>
      <c r="N20" s="4"/>
      <c r="O20" s="4">
        <v>4</v>
      </c>
      <c r="P20" s="4"/>
      <c r="Q20" s="4"/>
      <c r="R20" s="4"/>
      <c r="S20" s="6"/>
      <c r="T20" s="6"/>
      <c r="U20" s="6" t="s">
        <v>163</v>
      </c>
      <c r="V20" s="6" t="s">
        <v>161</v>
      </c>
      <c r="W20" s="7">
        <f t="shared" si="0"/>
        <v>2</v>
      </c>
      <c r="X20" s="6"/>
    </row>
    <row r="21" spans="1:24" ht="38.1" customHeight="1">
      <c r="A21" s="5"/>
      <c r="B21" s="5" t="s">
        <v>164</v>
      </c>
      <c r="C21" s="5" t="s">
        <v>84</v>
      </c>
      <c r="D21" s="5" t="s">
        <v>94</v>
      </c>
      <c r="E21" s="5" t="s">
        <v>94</v>
      </c>
      <c r="F21" s="5" t="s">
        <v>86</v>
      </c>
      <c r="G21" s="5" t="s">
        <v>153</v>
      </c>
      <c r="H21" s="5" t="s">
        <v>158</v>
      </c>
      <c r="I21" s="4">
        <v>4</v>
      </c>
      <c r="J21" s="4">
        <v>1</v>
      </c>
      <c r="K21" s="4"/>
      <c r="L21" s="4"/>
      <c r="M21" s="4"/>
      <c r="N21" s="4"/>
      <c r="O21" s="4">
        <v>10</v>
      </c>
      <c r="P21" s="4"/>
      <c r="Q21" s="4"/>
      <c r="R21" s="4"/>
      <c r="S21" s="6"/>
      <c r="T21" s="6"/>
      <c r="U21" s="6" t="s">
        <v>165</v>
      </c>
      <c r="V21" s="6" t="s">
        <v>166</v>
      </c>
      <c r="W21" s="7">
        <f t="shared" si="0"/>
        <v>6</v>
      </c>
      <c r="X21" s="6" t="s">
        <v>167</v>
      </c>
    </row>
    <row r="22" spans="1:24" ht="38.1" customHeight="1">
      <c r="A22" s="5"/>
      <c r="B22" s="5" t="s">
        <v>168</v>
      </c>
      <c r="C22" s="5" t="s">
        <v>84</v>
      </c>
      <c r="D22" s="5" t="s">
        <v>105</v>
      </c>
      <c r="E22" s="5" t="s">
        <v>106</v>
      </c>
      <c r="F22" s="5" t="s">
        <v>86</v>
      </c>
      <c r="G22" s="5" t="s">
        <v>113</v>
      </c>
      <c r="H22" s="5" t="s">
        <v>169</v>
      </c>
      <c r="I22" s="4">
        <v>0</v>
      </c>
      <c r="J22" s="4">
        <v>2</v>
      </c>
      <c r="K22" s="4"/>
      <c r="L22" s="4"/>
      <c r="M22" s="4"/>
      <c r="N22" s="4"/>
      <c r="O22" s="4"/>
      <c r="P22" s="4"/>
      <c r="Q22" s="4"/>
      <c r="R22" s="4"/>
      <c r="S22" s="6" t="s">
        <v>170</v>
      </c>
      <c r="T22" s="6"/>
      <c r="U22" s="6" t="s">
        <v>171</v>
      </c>
      <c r="V22" s="6" t="s">
        <v>172</v>
      </c>
      <c r="W22" s="7">
        <f t="shared" si="0"/>
        <v>0</v>
      </c>
      <c r="X22" s="6"/>
    </row>
    <row r="23" spans="1:24" ht="38.1" customHeight="1">
      <c r="A23" s="5"/>
      <c r="B23" s="5" t="s">
        <v>173</v>
      </c>
      <c r="C23" s="5" t="s">
        <v>84</v>
      </c>
      <c r="D23" s="5" t="s">
        <v>105</v>
      </c>
      <c r="E23" s="5" t="s">
        <v>106</v>
      </c>
      <c r="F23" s="5" t="s">
        <v>86</v>
      </c>
      <c r="G23" s="5" t="s">
        <v>87</v>
      </c>
      <c r="H23" s="5" t="s">
        <v>174</v>
      </c>
      <c r="I23" s="4">
        <v>0</v>
      </c>
      <c r="J23" s="4"/>
      <c r="K23" s="4"/>
      <c r="L23" s="4"/>
      <c r="M23" s="4"/>
      <c r="N23" s="4"/>
      <c r="O23" s="4"/>
      <c r="P23" s="4"/>
      <c r="Q23" s="4"/>
      <c r="R23" s="4"/>
      <c r="S23" s="6" t="s">
        <v>107</v>
      </c>
      <c r="T23" s="6"/>
      <c r="U23" s="6" t="s">
        <v>175</v>
      </c>
      <c r="V23" s="6" t="s">
        <v>172</v>
      </c>
      <c r="W23" s="7">
        <f t="shared" si="0"/>
        <v>0</v>
      </c>
      <c r="X23" s="6"/>
    </row>
    <row r="24" spans="1:24" ht="38.1" customHeight="1">
      <c r="A24" s="5"/>
      <c r="B24" s="5" t="s">
        <v>176</v>
      </c>
      <c r="C24" s="5" t="s">
        <v>84</v>
      </c>
      <c r="D24" s="5" t="s">
        <v>105</v>
      </c>
      <c r="E24" s="5" t="s">
        <v>106</v>
      </c>
      <c r="F24" s="5" t="s">
        <v>86</v>
      </c>
      <c r="G24" s="5" t="s">
        <v>113</v>
      </c>
      <c r="H24" s="5" t="s">
        <v>169</v>
      </c>
      <c r="I24" s="4">
        <v>0</v>
      </c>
      <c r="J24" s="4">
        <v>1</v>
      </c>
      <c r="K24" s="4"/>
      <c r="L24" s="4"/>
      <c r="M24" s="4"/>
      <c r="N24" s="4"/>
      <c r="O24" s="4"/>
      <c r="P24" s="4"/>
      <c r="Q24" s="4"/>
      <c r="R24" s="4"/>
      <c r="S24" s="6" t="s">
        <v>177</v>
      </c>
      <c r="T24" s="6"/>
      <c r="U24" s="6" t="s">
        <v>178</v>
      </c>
      <c r="V24" s="6" t="s">
        <v>172</v>
      </c>
      <c r="W24" s="7">
        <f t="shared" si="0"/>
        <v>0</v>
      </c>
      <c r="X24" s="6"/>
    </row>
    <row r="25" spans="1:24" ht="38.1" customHeight="1">
      <c r="A25" s="5"/>
      <c r="B25" s="5" t="s">
        <v>179</v>
      </c>
      <c r="C25" s="5" t="s">
        <v>84</v>
      </c>
      <c r="D25" s="5" t="s">
        <v>105</v>
      </c>
      <c r="E25" s="5" t="s">
        <v>106</v>
      </c>
      <c r="F25" s="5" t="s">
        <v>86</v>
      </c>
      <c r="G25" s="5" t="s">
        <v>153</v>
      </c>
      <c r="H25" s="5" t="s">
        <v>169</v>
      </c>
      <c r="I25" s="4">
        <v>2</v>
      </c>
      <c r="J25" s="4">
        <v>2</v>
      </c>
      <c r="K25" s="4"/>
      <c r="L25" s="4"/>
      <c r="M25" s="4"/>
      <c r="N25" s="4"/>
      <c r="O25" s="4"/>
      <c r="P25" s="4"/>
      <c r="Q25" s="4"/>
      <c r="R25" s="4"/>
      <c r="S25" s="6" t="s">
        <v>180</v>
      </c>
      <c r="T25" s="6"/>
      <c r="U25" s="6" t="s">
        <v>181</v>
      </c>
      <c r="V25" s="6" t="s">
        <v>172</v>
      </c>
      <c r="W25" s="7">
        <f t="shared" si="0"/>
        <v>-2</v>
      </c>
      <c r="X25" s="6"/>
    </row>
    <row r="26" spans="1:24" ht="38.1" customHeight="1">
      <c r="A26" s="5"/>
      <c r="B26" s="5" t="s">
        <v>182</v>
      </c>
      <c r="C26" s="5" t="s">
        <v>84</v>
      </c>
      <c r="D26" s="5" t="s">
        <v>100</v>
      </c>
      <c r="E26" s="5" t="s">
        <v>100</v>
      </c>
      <c r="F26" s="5" t="s">
        <v>86</v>
      </c>
      <c r="G26" s="5" t="s">
        <v>113</v>
      </c>
      <c r="H26" s="5" t="s">
        <v>183</v>
      </c>
      <c r="I26" s="4">
        <v>2</v>
      </c>
      <c r="J26" s="4">
        <v>4</v>
      </c>
      <c r="K26" s="4"/>
      <c r="L26" s="4"/>
      <c r="M26" s="4"/>
      <c r="N26" s="4"/>
      <c r="O26" s="4"/>
      <c r="P26" s="4">
        <v>2</v>
      </c>
      <c r="Q26" s="4"/>
      <c r="R26" s="4"/>
      <c r="S26" s="6" t="s">
        <v>184</v>
      </c>
      <c r="T26" s="6"/>
      <c r="U26" s="6" t="s">
        <v>185</v>
      </c>
      <c r="V26" s="6" t="s">
        <v>186</v>
      </c>
      <c r="W26" s="7">
        <f t="shared" si="0"/>
        <v>1</v>
      </c>
      <c r="X26" s="6"/>
    </row>
    <row r="27" spans="1:24" ht="38.1" customHeight="1">
      <c r="A27" s="5"/>
      <c r="B27" s="5" t="s">
        <v>187</v>
      </c>
      <c r="C27" s="5" t="s">
        <v>84</v>
      </c>
      <c r="D27" s="5" t="s">
        <v>100</v>
      </c>
      <c r="E27" s="5" t="s">
        <v>100</v>
      </c>
      <c r="F27" s="5" t="s">
        <v>86</v>
      </c>
      <c r="G27" s="5" t="s">
        <v>153</v>
      </c>
      <c r="H27" s="5" t="s">
        <v>183</v>
      </c>
      <c r="I27" s="4">
        <v>2</v>
      </c>
      <c r="J27" s="4">
        <v>2</v>
      </c>
      <c r="K27" s="4"/>
      <c r="L27" s="4"/>
      <c r="M27" s="4"/>
      <c r="N27" s="4"/>
      <c r="O27" s="4"/>
      <c r="P27" s="4">
        <v>4</v>
      </c>
      <c r="Q27" s="4"/>
      <c r="R27" s="4"/>
      <c r="S27" s="6" t="s">
        <v>188</v>
      </c>
      <c r="T27" s="6"/>
      <c r="U27" s="6" t="s">
        <v>189</v>
      </c>
      <c r="V27" s="6" t="s">
        <v>190</v>
      </c>
      <c r="W27" s="7">
        <f t="shared" si="0"/>
        <v>4</v>
      </c>
      <c r="X27" s="6"/>
    </row>
    <row r="28" spans="1:24" ht="38.1" customHeight="1">
      <c r="A28" s="5"/>
      <c r="B28" s="5"/>
      <c r="C28" s="5"/>
      <c r="D28" s="5"/>
      <c r="E28" s="5"/>
      <c r="F28" s="5"/>
      <c r="G28" s="5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7" t="str">
        <f t="shared" si="0"/>
        <v/>
      </c>
      <c r="X28" s="6"/>
    </row>
    <row r="29" spans="1:24" ht="38.1" customHeight="1">
      <c r="A29" s="5"/>
      <c r="B29" s="5"/>
      <c r="C29" s="5"/>
      <c r="D29" s="5"/>
      <c r="E29" s="5"/>
      <c r="F29" s="5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7" t="str">
        <f t="shared" si="0"/>
        <v/>
      </c>
      <c r="X29" s="6"/>
    </row>
    <row r="30" spans="1:24" ht="38.1" customHeight="1">
      <c r="A30" s="5"/>
      <c r="B30" s="5"/>
      <c r="C30" s="5"/>
      <c r="D30" s="5"/>
      <c r="E30" s="5"/>
      <c r="F30" s="5"/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7" t="str">
        <f t="shared" si="0"/>
        <v/>
      </c>
      <c r="X30" s="6"/>
    </row>
    <row r="31" spans="1:24" ht="38.1" customHeight="1">
      <c r="A31" s="5"/>
      <c r="B31" s="5"/>
      <c r="C31" s="5"/>
      <c r="D31" s="5"/>
      <c r="E31" s="5"/>
      <c r="F31" s="5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7" t="str">
        <f t="shared" si="0"/>
        <v/>
      </c>
      <c r="X31" s="6"/>
    </row>
    <row r="32" spans="1:24" ht="38.1" customHeight="1">
      <c r="A32" s="5"/>
      <c r="B32" s="5"/>
      <c r="C32" s="5"/>
      <c r="D32" s="5"/>
      <c r="E32" s="5"/>
      <c r="F32" s="5"/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7" t="str">
        <f t="shared" si="0"/>
        <v/>
      </c>
      <c r="X32" s="6"/>
    </row>
    <row r="33" spans="1:24" ht="38.1" customHeight="1">
      <c r="A33" s="5"/>
      <c r="B33" s="5"/>
      <c r="C33" s="5"/>
      <c r="D33" s="5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7" t="str">
        <f t="shared" si="0"/>
        <v/>
      </c>
      <c r="X33" s="6"/>
    </row>
    <row r="34" spans="1:24" ht="38.1" customHeight="1">
      <c r="A34" s="5"/>
      <c r="B34" s="5"/>
      <c r="C34" s="5"/>
      <c r="D34" s="5"/>
      <c r="E34" s="5"/>
      <c r="F34" s="5"/>
      <c r="G34" s="5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7" t="str">
        <f t="shared" si="0"/>
        <v/>
      </c>
      <c r="X34" s="6"/>
    </row>
    <row r="35" spans="1:24" ht="38.1" customHeight="1">
      <c r="A35" s="5"/>
      <c r="B35" s="5"/>
      <c r="C35" s="5"/>
      <c r="D35" s="5"/>
      <c r="E35" s="5"/>
      <c r="F35" s="5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7" t="str">
        <f t="shared" si="0"/>
        <v/>
      </c>
      <c r="X35" s="6"/>
    </row>
    <row r="36" spans="1:24" ht="38.1" customHeight="1">
      <c r="A36" s="5"/>
      <c r="B36" s="5"/>
      <c r="C36" s="5"/>
      <c r="D36" s="5"/>
      <c r="E36" s="5"/>
      <c r="F36" s="5"/>
      <c r="G36" s="5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7" t="str">
        <f t="shared" si="0"/>
        <v/>
      </c>
      <c r="X36" s="6"/>
    </row>
    <row r="37" spans="1:24" ht="38.1" customHeight="1">
      <c r="A37" s="5"/>
      <c r="B37" s="5"/>
      <c r="C37" s="5"/>
      <c r="D37" s="5"/>
      <c r="E37" s="5"/>
      <c r="F37" s="5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6"/>
      <c r="T37" s="6"/>
      <c r="U37" s="6"/>
      <c r="V37" s="6"/>
      <c r="W37" s="7" t="str">
        <f t="shared" si="0"/>
        <v/>
      </c>
      <c r="X37" s="6"/>
    </row>
    <row r="38" spans="1:24" ht="38.1" customHeight="1">
      <c r="A38" s="5"/>
      <c r="B38" s="5"/>
      <c r="C38" s="5"/>
      <c r="D38" s="5"/>
      <c r="E38" s="5"/>
      <c r="F38" s="5"/>
      <c r="G38" s="5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6"/>
      <c r="T38" s="6"/>
      <c r="U38" s="6"/>
      <c r="V38" s="6"/>
      <c r="W38" s="7" t="str">
        <f t="shared" ref="W38:W69" si="1">IF(COUNTA(A38:V38)=0,"",N(M38)/2+N(N38)/3+N(O38)+N(P38)*1.5+N(Q38)/5+N(R38)*2-N(I38)-N(K38)*0.5-N(L38))</f>
        <v/>
      </c>
      <c r="X38" s="6"/>
    </row>
    <row r="39" spans="1:24" ht="38.1" customHeight="1">
      <c r="A39" s="5"/>
      <c r="B39" s="5"/>
      <c r="C39" s="5"/>
      <c r="D39" s="5"/>
      <c r="E39" s="5"/>
      <c r="F39" s="5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6"/>
      <c r="T39" s="6"/>
      <c r="U39" s="6"/>
      <c r="V39" s="6"/>
      <c r="W39" s="7" t="str">
        <f t="shared" si="1"/>
        <v/>
      </c>
      <c r="X39" s="6"/>
    </row>
    <row r="40" spans="1:24" ht="38.1" customHeight="1">
      <c r="A40" s="5"/>
      <c r="B40" s="5"/>
      <c r="C40" s="5"/>
      <c r="D40" s="5"/>
      <c r="E40" s="5"/>
      <c r="F40" s="5"/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6"/>
      <c r="T40" s="6"/>
      <c r="U40" s="6"/>
      <c r="V40" s="6"/>
      <c r="W40" s="7" t="str">
        <f t="shared" si="1"/>
        <v/>
      </c>
      <c r="X40" s="6"/>
    </row>
    <row r="41" spans="1:24" ht="38.1" customHeight="1">
      <c r="A41" s="5"/>
      <c r="B41" s="5"/>
      <c r="C41" s="5"/>
      <c r="D41" s="5"/>
      <c r="E41" s="5"/>
      <c r="F41" s="5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6"/>
      <c r="T41" s="6"/>
      <c r="U41" s="6"/>
      <c r="V41" s="6"/>
      <c r="W41" s="7" t="str">
        <f t="shared" si="1"/>
        <v/>
      </c>
      <c r="X41" s="6"/>
    </row>
    <row r="42" spans="1:24" ht="38.1" customHeight="1">
      <c r="A42" s="5"/>
      <c r="B42" s="5"/>
      <c r="C42" s="5"/>
      <c r="D42" s="5"/>
      <c r="E42" s="5"/>
      <c r="F42" s="5"/>
      <c r="G42" s="5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6"/>
      <c r="T42" s="6"/>
      <c r="U42" s="6"/>
      <c r="V42" s="6"/>
      <c r="W42" s="7" t="str">
        <f t="shared" si="1"/>
        <v/>
      </c>
      <c r="X42" s="6"/>
    </row>
    <row r="43" spans="1:24" ht="38.1" customHeight="1">
      <c r="A43" s="5"/>
      <c r="B43" s="5"/>
      <c r="C43" s="5"/>
      <c r="D43" s="5"/>
      <c r="E43" s="5"/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6"/>
      <c r="T43" s="6"/>
      <c r="U43" s="6"/>
      <c r="V43" s="6"/>
      <c r="W43" s="7" t="str">
        <f t="shared" si="1"/>
        <v/>
      </c>
      <c r="X43" s="6"/>
    </row>
    <row r="44" spans="1:24" ht="38.1" customHeight="1">
      <c r="A44" s="5"/>
      <c r="B44" s="5"/>
      <c r="C44" s="5"/>
      <c r="D44" s="5"/>
      <c r="E44" s="5"/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6"/>
      <c r="T44" s="6"/>
      <c r="U44" s="6"/>
      <c r="V44" s="6"/>
      <c r="W44" s="7" t="str">
        <f t="shared" si="1"/>
        <v/>
      </c>
      <c r="X44" s="6"/>
    </row>
    <row r="45" spans="1:24" ht="38.1" customHeight="1">
      <c r="A45" s="5"/>
      <c r="B45" s="5"/>
      <c r="C45" s="5"/>
      <c r="D45" s="5"/>
      <c r="E45" s="5"/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6"/>
      <c r="T45" s="6"/>
      <c r="U45" s="6"/>
      <c r="V45" s="6"/>
      <c r="W45" s="7" t="str">
        <f t="shared" si="1"/>
        <v/>
      </c>
      <c r="X45" s="6"/>
    </row>
    <row r="46" spans="1:24" ht="38.1" customHeight="1">
      <c r="A46" s="5"/>
      <c r="B46" s="5"/>
      <c r="C46" s="5"/>
      <c r="D46" s="5"/>
      <c r="E46" s="5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6"/>
      <c r="T46" s="6"/>
      <c r="U46" s="6"/>
      <c r="V46" s="6"/>
      <c r="W46" s="7" t="str">
        <f t="shared" si="1"/>
        <v/>
      </c>
      <c r="X46" s="6"/>
    </row>
    <row r="47" spans="1:24" ht="38.1" customHeight="1">
      <c r="A47" s="5"/>
      <c r="B47" s="5"/>
      <c r="C47" s="5"/>
      <c r="D47" s="5"/>
      <c r="E47" s="5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6"/>
      <c r="U47" s="6"/>
      <c r="V47" s="6"/>
      <c r="W47" s="7" t="str">
        <f t="shared" si="1"/>
        <v/>
      </c>
      <c r="X47" s="6"/>
    </row>
    <row r="48" spans="1:24" ht="38.1" customHeight="1">
      <c r="A48" s="5"/>
      <c r="B48" s="5"/>
      <c r="C48" s="5"/>
      <c r="D48" s="5"/>
      <c r="E48" s="5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6"/>
      <c r="T48" s="6"/>
      <c r="U48" s="6"/>
      <c r="V48" s="6"/>
      <c r="W48" s="7" t="str">
        <f t="shared" si="1"/>
        <v/>
      </c>
      <c r="X48" s="6"/>
    </row>
    <row r="49" spans="1:24" ht="38.1" customHeight="1">
      <c r="A49" s="5"/>
      <c r="B49" s="5"/>
      <c r="C49" s="5"/>
      <c r="D49" s="5"/>
      <c r="E49" s="5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6"/>
      <c r="T49" s="6"/>
      <c r="U49" s="6"/>
      <c r="V49" s="6"/>
      <c r="W49" s="7" t="str">
        <f t="shared" si="1"/>
        <v/>
      </c>
      <c r="X49" s="6"/>
    </row>
    <row r="50" spans="1:24" ht="38.1" customHeight="1">
      <c r="A50" s="5"/>
      <c r="B50" s="5"/>
      <c r="C50" s="5"/>
      <c r="D50" s="5"/>
      <c r="E50" s="5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6"/>
      <c r="T50" s="6"/>
      <c r="U50" s="6"/>
      <c r="V50" s="6"/>
      <c r="W50" s="7" t="str">
        <f t="shared" si="1"/>
        <v/>
      </c>
      <c r="X50" s="6"/>
    </row>
    <row r="51" spans="1:24" ht="38.1" customHeight="1">
      <c r="A51" s="5"/>
      <c r="B51" s="5"/>
      <c r="C51" s="5"/>
      <c r="D51" s="5"/>
      <c r="E51" s="5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6"/>
      <c r="U51" s="6"/>
      <c r="V51" s="6"/>
      <c r="W51" s="7" t="str">
        <f t="shared" si="1"/>
        <v/>
      </c>
      <c r="X51" s="6"/>
    </row>
    <row r="52" spans="1:24" ht="38.1" customHeight="1">
      <c r="A52" s="5"/>
      <c r="B52" s="5"/>
      <c r="C52" s="5"/>
      <c r="D52" s="5"/>
      <c r="E52" s="5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6"/>
      <c r="T52" s="6"/>
      <c r="U52" s="6"/>
      <c r="V52" s="6"/>
      <c r="W52" s="7" t="str">
        <f t="shared" si="1"/>
        <v/>
      </c>
      <c r="X52" s="6"/>
    </row>
    <row r="53" spans="1:24" ht="38.1" customHeight="1">
      <c r="A53" s="5"/>
      <c r="B53" s="5"/>
      <c r="C53" s="5"/>
      <c r="D53" s="5"/>
      <c r="E53" s="5"/>
      <c r="F53" s="5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6"/>
      <c r="U53" s="6"/>
      <c r="V53" s="6"/>
      <c r="W53" s="7" t="str">
        <f t="shared" si="1"/>
        <v/>
      </c>
      <c r="X53" s="6"/>
    </row>
    <row r="54" spans="1:24" ht="38.1" customHeight="1">
      <c r="A54" s="5"/>
      <c r="B54" s="5"/>
      <c r="C54" s="5"/>
      <c r="D54" s="5"/>
      <c r="E54" s="5"/>
      <c r="F54" s="5"/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6"/>
      <c r="T54" s="6"/>
      <c r="U54" s="6"/>
      <c r="V54" s="6"/>
      <c r="W54" s="7" t="str">
        <f t="shared" si="1"/>
        <v/>
      </c>
      <c r="X54" s="6"/>
    </row>
    <row r="55" spans="1:24" ht="38.1" customHeight="1">
      <c r="A55" s="5"/>
      <c r="B55" s="5"/>
      <c r="C55" s="5"/>
      <c r="D55" s="5"/>
      <c r="E55" s="5"/>
      <c r="F55" s="5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6"/>
      <c r="T55" s="6"/>
      <c r="U55" s="6"/>
      <c r="V55" s="6"/>
      <c r="W55" s="7" t="str">
        <f t="shared" si="1"/>
        <v/>
      </c>
      <c r="X55" s="6"/>
    </row>
    <row r="56" spans="1:24" ht="38.1" customHeight="1">
      <c r="A56" s="5"/>
      <c r="B56" s="5"/>
      <c r="C56" s="5"/>
      <c r="D56" s="5"/>
      <c r="E56" s="5"/>
      <c r="F56" s="5"/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6"/>
      <c r="T56" s="6"/>
      <c r="U56" s="6"/>
      <c r="V56" s="6"/>
      <c r="W56" s="7" t="str">
        <f t="shared" si="1"/>
        <v/>
      </c>
      <c r="X56" s="6"/>
    </row>
    <row r="57" spans="1:24" ht="38.1" customHeight="1">
      <c r="A57" s="5"/>
      <c r="B57" s="5"/>
      <c r="C57" s="5"/>
      <c r="D57" s="5"/>
      <c r="E57" s="5"/>
      <c r="F57" s="5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6"/>
      <c r="T57" s="6"/>
      <c r="U57" s="6"/>
      <c r="V57" s="6"/>
      <c r="W57" s="7" t="str">
        <f t="shared" si="1"/>
        <v/>
      </c>
      <c r="X57" s="6"/>
    </row>
    <row r="58" spans="1:24" ht="38.1" customHeight="1">
      <c r="A58" s="5"/>
      <c r="B58" s="5"/>
      <c r="C58" s="5"/>
      <c r="D58" s="5"/>
      <c r="E58" s="5"/>
      <c r="F58" s="5"/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6"/>
      <c r="T58" s="6"/>
      <c r="U58" s="6"/>
      <c r="V58" s="6"/>
      <c r="W58" s="7" t="str">
        <f t="shared" si="1"/>
        <v/>
      </c>
      <c r="X58" s="6"/>
    </row>
    <row r="59" spans="1:24" ht="38.1" customHeight="1">
      <c r="A59" s="5"/>
      <c r="B59" s="5"/>
      <c r="C59" s="5"/>
      <c r="D59" s="5"/>
      <c r="E59" s="5"/>
      <c r="F59" s="5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6"/>
      <c r="T59" s="6"/>
      <c r="U59" s="6"/>
      <c r="V59" s="6"/>
      <c r="W59" s="7" t="str">
        <f t="shared" si="1"/>
        <v/>
      </c>
      <c r="X59" s="6"/>
    </row>
    <row r="60" spans="1:24" ht="38.1" customHeight="1">
      <c r="A60" s="5"/>
      <c r="B60" s="5"/>
      <c r="C60" s="5"/>
      <c r="D60" s="5"/>
      <c r="E60" s="5"/>
      <c r="F60" s="5"/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6"/>
      <c r="T60" s="6"/>
      <c r="U60" s="6"/>
      <c r="V60" s="6"/>
      <c r="W60" s="7" t="str">
        <f t="shared" si="1"/>
        <v/>
      </c>
      <c r="X60" s="6"/>
    </row>
    <row r="61" spans="1:24" ht="38.1" customHeight="1">
      <c r="A61" s="5"/>
      <c r="B61" s="5"/>
      <c r="C61" s="5"/>
      <c r="D61" s="5"/>
      <c r="E61" s="5"/>
      <c r="F61" s="5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6"/>
      <c r="T61" s="6"/>
      <c r="U61" s="6"/>
      <c r="V61" s="6"/>
      <c r="W61" s="7" t="str">
        <f t="shared" si="1"/>
        <v/>
      </c>
      <c r="X61" s="6"/>
    </row>
    <row r="62" spans="1:24" ht="38.1" customHeight="1">
      <c r="A62" s="5"/>
      <c r="B62" s="5"/>
      <c r="C62" s="5"/>
      <c r="D62" s="5"/>
      <c r="E62" s="5"/>
      <c r="F62" s="5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6"/>
      <c r="T62" s="6"/>
      <c r="U62" s="6"/>
      <c r="V62" s="6"/>
      <c r="W62" s="7" t="str">
        <f t="shared" si="1"/>
        <v/>
      </c>
      <c r="X62" s="6"/>
    </row>
    <row r="63" spans="1:24" ht="38.1" customHeight="1">
      <c r="A63" s="5"/>
      <c r="B63" s="5"/>
      <c r="C63" s="5"/>
      <c r="D63" s="5"/>
      <c r="E63" s="5"/>
      <c r="F63" s="5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6"/>
      <c r="T63" s="6"/>
      <c r="U63" s="6"/>
      <c r="V63" s="6"/>
      <c r="W63" s="7" t="str">
        <f t="shared" si="1"/>
        <v/>
      </c>
      <c r="X63" s="6"/>
    </row>
    <row r="64" spans="1:24" ht="38.1" customHeight="1">
      <c r="A64" s="5"/>
      <c r="B64" s="5"/>
      <c r="C64" s="5"/>
      <c r="D64" s="5"/>
      <c r="E64" s="5"/>
      <c r="F64" s="5"/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6"/>
      <c r="T64" s="6"/>
      <c r="U64" s="6"/>
      <c r="V64" s="6"/>
      <c r="W64" s="7" t="str">
        <f t="shared" si="1"/>
        <v/>
      </c>
      <c r="X64" s="6"/>
    </row>
    <row r="65" spans="1:24" ht="38.1" customHeight="1">
      <c r="A65" s="5"/>
      <c r="B65" s="5"/>
      <c r="C65" s="5"/>
      <c r="D65" s="5"/>
      <c r="E65" s="5"/>
      <c r="F65" s="5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6"/>
      <c r="T65" s="6"/>
      <c r="U65" s="6"/>
      <c r="V65" s="6"/>
      <c r="W65" s="7" t="str">
        <f t="shared" si="1"/>
        <v/>
      </c>
      <c r="X65" s="6"/>
    </row>
    <row r="66" spans="1:24" ht="38.1" customHeight="1">
      <c r="A66" s="5"/>
      <c r="B66" s="5"/>
      <c r="C66" s="5"/>
      <c r="D66" s="5"/>
      <c r="E66" s="5"/>
      <c r="F66" s="5"/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6"/>
      <c r="T66" s="6"/>
      <c r="U66" s="6"/>
      <c r="V66" s="6"/>
      <c r="W66" s="7" t="str">
        <f t="shared" si="1"/>
        <v/>
      </c>
      <c r="X66" s="6"/>
    </row>
    <row r="67" spans="1:24" ht="38.1" customHeight="1">
      <c r="A67" s="5"/>
      <c r="B67" s="5"/>
      <c r="C67" s="5"/>
      <c r="D67" s="5"/>
      <c r="E67" s="5"/>
      <c r="F67" s="5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6"/>
      <c r="T67" s="6"/>
      <c r="U67" s="6"/>
      <c r="V67" s="6"/>
      <c r="W67" s="7" t="str">
        <f t="shared" si="1"/>
        <v/>
      </c>
      <c r="X67" s="6"/>
    </row>
    <row r="68" spans="1:24" ht="38.1" customHeight="1">
      <c r="A68" s="5"/>
      <c r="B68" s="5"/>
      <c r="C68" s="5"/>
      <c r="D68" s="5"/>
      <c r="E68" s="5"/>
      <c r="F68" s="5"/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6"/>
      <c r="T68" s="6"/>
      <c r="U68" s="6"/>
      <c r="V68" s="6"/>
      <c r="W68" s="7" t="str">
        <f t="shared" si="1"/>
        <v/>
      </c>
      <c r="X68" s="6"/>
    </row>
    <row r="69" spans="1:24" ht="38.1" customHeight="1">
      <c r="A69" s="5"/>
      <c r="B69" s="5"/>
      <c r="C69" s="5"/>
      <c r="D69" s="5"/>
      <c r="E69" s="5"/>
      <c r="F69" s="5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6"/>
      <c r="T69" s="6"/>
      <c r="U69" s="6"/>
      <c r="V69" s="6"/>
      <c r="W69" s="7" t="str">
        <f t="shared" si="1"/>
        <v/>
      </c>
      <c r="X69" s="6"/>
    </row>
    <row r="70" spans="1:24" ht="38.1" customHeight="1">
      <c r="A70" s="5"/>
      <c r="B70" s="5"/>
      <c r="C70" s="5"/>
      <c r="D70" s="5"/>
      <c r="E70" s="5"/>
      <c r="F70" s="5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6"/>
      <c r="T70" s="6"/>
      <c r="U70" s="6"/>
      <c r="V70" s="6"/>
      <c r="W70" s="7" t="str">
        <f t="shared" ref="W70:W101" si="2">IF(COUNTA(A70:V70)=0,"",N(M70)/2+N(N70)/3+N(O70)+N(P70)*1.5+N(Q70)/5+N(R70)*2-N(I70)-N(K70)*0.5-N(L70))</f>
        <v/>
      </c>
      <c r="X70" s="6"/>
    </row>
    <row r="71" spans="1:24" ht="38.1" customHeight="1">
      <c r="A71" s="5"/>
      <c r="B71" s="5"/>
      <c r="C71" s="5"/>
      <c r="D71" s="5"/>
      <c r="E71" s="5"/>
      <c r="F71" s="5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6"/>
      <c r="T71" s="6"/>
      <c r="U71" s="6"/>
      <c r="V71" s="6"/>
      <c r="W71" s="7" t="str">
        <f t="shared" si="2"/>
        <v/>
      </c>
      <c r="X71" s="6"/>
    </row>
    <row r="72" spans="1:24" ht="38.1" customHeight="1">
      <c r="A72" s="5"/>
      <c r="B72" s="5"/>
      <c r="C72" s="5"/>
      <c r="D72" s="5"/>
      <c r="E72" s="5"/>
      <c r="F72" s="5"/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6"/>
      <c r="T72" s="6"/>
      <c r="U72" s="6"/>
      <c r="V72" s="6"/>
      <c r="W72" s="7" t="str">
        <f t="shared" si="2"/>
        <v/>
      </c>
      <c r="X72" s="6"/>
    </row>
    <row r="73" spans="1:24" ht="38.1" customHeight="1">
      <c r="A73" s="5"/>
      <c r="B73" s="5"/>
      <c r="C73" s="5"/>
      <c r="D73" s="5"/>
      <c r="E73" s="5"/>
      <c r="F73" s="5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6"/>
      <c r="T73" s="6"/>
      <c r="U73" s="6"/>
      <c r="V73" s="6"/>
      <c r="W73" s="7" t="str">
        <f t="shared" si="2"/>
        <v/>
      </c>
      <c r="X73" s="6"/>
    </row>
    <row r="74" spans="1:24" ht="38.1" customHeight="1">
      <c r="A74" s="5"/>
      <c r="B74" s="5"/>
      <c r="C74" s="5"/>
      <c r="D74" s="5"/>
      <c r="E74" s="5"/>
      <c r="F74" s="5"/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6"/>
      <c r="T74" s="6"/>
      <c r="U74" s="6"/>
      <c r="V74" s="6"/>
      <c r="W74" s="7" t="str">
        <f t="shared" si="2"/>
        <v/>
      </c>
      <c r="X74" s="6"/>
    </row>
    <row r="75" spans="1:24" ht="38.1" customHeight="1">
      <c r="A75" s="5"/>
      <c r="B75" s="5"/>
      <c r="C75" s="5"/>
      <c r="D75" s="5"/>
      <c r="E75" s="5"/>
      <c r="F75" s="5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6"/>
      <c r="T75" s="6"/>
      <c r="U75" s="6"/>
      <c r="V75" s="6"/>
      <c r="W75" s="7" t="str">
        <f t="shared" si="2"/>
        <v/>
      </c>
      <c r="X75" s="6"/>
    </row>
    <row r="76" spans="1:24" ht="38.1" customHeight="1">
      <c r="A76" s="5"/>
      <c r="B76" s="5"/>
      <c r="C76" s="5"/>
      <c r="D76" s="5"/>
      <c r="E76" s="5"/>
      <c r="F76" s="5"/>
      <c r="G76" s="5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6"/>
      <c r="T76" s="6"/>
      <c r="U76" s="6"/>
      <c r="V76" s="6"/>
      <c r="W76" s="7" t="str">
        <f t="shared" si="2"/>
        <v/>
      </c>
      <c r="X76" s="6"/>
    </row>
    <row r="77" spans="1:24" ht="38.1" customHeight="1">
      <c r="A77" s="5"/>
      <c r="B77" s="5"/>
      <c r="C77" s="5"/>
      <c r="D77" s="5"/>
      <c r="E77" s="5"/>
      <c r="F77" s="5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6"/>
      <c r="T77" s="6"/>
      <c r="U77" s="6"/>
      <c r="V77" s="6"/>
      <c r="W77" s="7" t="str">
        <f t="shared" si="2"/>
        <v/>
      </c>
      <c r="X77" s="6"/>
    </row>
    <row r="78" spans="1:24" ht="38.1" customHeight="1">
      <c r="A78" s="5"/>
      <c r="B78" s="5"/>
      <c r="C78" s="5"/>
      <c r="D78" s="5"/>
      <c r="E78" s="5"/>
      <c r="F78" s="5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6"/>
      <c r="T78" s="6"/>
      <c r="U78" s="6"/>
      <c r="V78" s="6"/>
      <c r="W78" s="7" t="str">
        <f t="shared" si="2"/>
        <v/>
      </c>
      <c r="X78" s="6"/>
    </row>
    <row r="79" spans="1:24" ht="38.1" customHeight="1">
      <c r="A79" s="5"/>
      <c r="B79" s="5"/>
      <c r="C79" s="5"/>
      <c r="D79" s="5"/>
      <c r="E79" s="5"/>
      <c r="F79" s="5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6"/>
      <c r="T79" s="6"/>
      <c r="U79" s="6"/>
      <c r="V79" s="6"/>
      <c r="W79" s="7" t="str">
        <f t="shared" si="2"/>
        <v/>
      </c>
      <c r="X79" s="6"/>
    </row>
    <row r="80" spans="1:24" ht="38.1" customHeight="1">
      <c r="A80" s="5"/>
      <c r="B80" s="5"/>
      <c r="C80" s="5"/>
      <c r="D80" s="5"/>
      <c r="E80" s="5"/>
      <c r="F80" s="5"/>
      <c r="G80" s="5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6"/>
      <c r="T80" s="6"/>
      <c r="U80" s="6"/>
      <c r="V80" s="6"/>
      <c r="W80" s="7" t="str">
        <f t="shared" si="2"/>
        <v/>
      </c>
      <c r="X80" s="6"/>
    </row>
    <row r="81" spans="1:24" ht="38.1" customHeight="1">
      <c r="A81" s="5"/>
      <c r="B81" s="5"/>
      <c r="C81" s="5"/>
      <c r="D81" s="5"/>
      <c r="E81" s="5"/>
      <c r="F81" s="5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6"/>
      <c r="T81" s="6"/>
      <c r="U81" s="6"/>
      <c r="V81" s="6"/>
      <c r="W81" s="7" t="str">
        <f t="shared" si="2"/>
        <v/>
      </c>
      <c r="X81" s="6"/>
    </row>
    <row r="82" spans="1:24" ht="38.1" customHeight="1">
      <c r="A82" s="5"/>
      <c r="B82" s="5"/>
      <c r="C82" s="5"/>
      <c r="D82" s="5"/>
      <c r="E82" s="5"/>
      <c r="F82" s="5"/>
      <c r="G82" s="5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6"/>
      <c r="T82" s="6"/>
      <c r="U82" s="6"/>
      <c r="V82" s="6"/>
      <c r="W82" s="7" t="str">
        <f t="shared" si="2"/>
        <v/>
      </c>
      <c r="X82" s="6"/>
    </row>
    <row r="83" spans="1:24" ht="38.1" customHeight="1">
      <c r="A83" s="5"/>
      <c r="B83" s="5"/>
      <c r="C83" s="5"/>
      <c r="D83" s="5"/>
      <c r="E83" s="5"/>
      <c r="F83" s="5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6"/>
      <c r="T83" s="6"/>
      <c r="U83" s="6"/>
      <c r="V83" s="6"/>
      <c r="W83" s="7" t="str">
        <f t="shared" si="2"/>
        <v/>
      </c>
      <c r="X83" s="6"/>
    </row>
    <row r="84" spans="1:24" ht="38.1" customHeight="1">
      <c r="A84" s="5"/>
      <c r="B84" s="5"/>
      <c r="C84" s="5"/>
      <c r="D84" s="5"/>
      <c r="E84" s="5"/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6"/>
      <c r="T84" s="6"/>
      <c r="U84" s="6"/>
      <c r="V84" s="6"/>
      <c r="W84" s="7" t="str">
        <f t="shared" si="2"/>
        <v/>
      </c>
      <c r="X84" s="6"/>
    </row>
    <row r="85" spans="1:24" ht="38.1" customHeight="1">
      <c r="A85" s="5"/>
      <c r="B85" s="5"/>
      <c r="C85" s="5"/>
      <c r="D85" s="5"/>
      <c r="E85" s="5"/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6"/>
      <c r="T85" s="6"/>
      <c r="U85" s="6"/>
      <c r="V85" s="6"/>
      <c r="W85" s="7" t="str">
        <f t="shared" si="2"/>
        <v/>
      </c>
      <c r="X85" s="6"/>
    </row>
    <row r="86" spans="1:24" ht="38.1" customHeight="1">
      <c r="A86" s="5"/>
      <c r="B86" s="5"/>
      <c r="C86" s="5"/>
      <c r="D86" s="5"/>
      <c r="E86" s="5"/>
      <c r="F86" s="5"/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6"/>
      <c r="T86" s="6"/>
      <c r="U86" s="6"/>
      <c r="V86" s="6"/>
      <c r="W86" s="7" t="str">
        <f t="shared" si="2"/>
        <v/>
      </c>
      <c r="X86" s="6"/>
    </row>
    <row r="87" spans="1:24" ht="38.1" customHeight="1">
      <c r="A87" s="5"/>
      <c r="B87" s="5"/>
      <c r="C87" s="5"/>
      <c r="D87" s="5"/>
      <c r="E87" s="5"/>
      <c r="F87" s="5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6"/>
      <c r="T87" s="6"/>
      <c r="U87" s="6"/>
      <c r="V87" s="6"/>
      <c r="W87" s="7" t="str">
        <f t="shared" si="2"/>
        <v/>
      </c>
      <c r="X87" s="6"/>
    </row>
    <row r="88" spans="1:24" ht="38.1" customHeight="1">
      <c r="A88" s="5"/>
      <c r="B88" s="5"/>
      <c r="C88" s="5"/>
      <c r="D88" s="5"/>
      <c r="E88" s="5"/>
      <c r="F88" s="5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6"/>
      <c r="T88" s="6"/>
      <c r="U88" s="6"/>
      <c r="V88" s="6"/>
      <c r="W88" s="7" t="str">
        <f t="shared" si="2"/>
        <v/>
      </c>
      <c r="X88" s="6"/>
    </row>
    <row r="89" spans="1:24" ht="38.1" customHeight="1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6"/>
      <c r="T89" s="6"/>
      <c r="U89" s="6"/>
      <c r="V89" s="6"/>
      <c r="W89" s="7" t="str">
        <f t="shared" si="2"/>
        <v/>
      </c>
      <c r="X89" s="6"/>
    </row>
    <row r="90" spans="1:24" ht="38.1" customHeight="1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6"/>
      <c r="T90" s="6"/>
      <c r="U90" s="6"/>
      <c r="V90" s="6"/>
      <c r="W90" s="7" t="str">
        <f t="shared" si="2"/>
        <v/>
      </c>
      <c r="X90" s="6"/>
    </row>
    <row r="91" spans="1:24" ht="38.1" customHeight="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6"/>
      <c r="T91" s="6"/>
      <c r="U91" s="6"/>
      <c r="V91" s="6"/>
      <c r="W91" s="7" t="str">
        <f t="shared" si="2"/>
        <v/>
      </c>
      <c r="X91" s="6"/>
    </row>
    <row r="92" spans="1:24" ht="38.1" customHeight="1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6"/>
      <c r="T92" s="6"/>
      <c r="U92" s="6"/>
      <c r="V92" s="6"/>
      <c r="W92" s="7" t="str">
        <f t="shared" si="2"/>
        <v/>
      </c>
      <c r="X92" s="6"/>
    </row>
    <row r="93" spans="1:24" ht="38.1" customHeight="1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6"/>
      <c r="T93" s="6"/>
      <c r="U93" s="6"/>
      <c r="V93" s="6"/>
      <c r="W93" s="7" t="str">
        <f t="shared" si="2"/>
        <v/>
      </c>
      <c r="X93" s="6"/>
    </row>
    <row r="94" spans="1:24" ht="38.1" customHeight="1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6"/>
      <c r="T94" s="6"/>
      <c r="U94" s="6"/>
      <c r="V94" s="6"/>
      <c r="W94" s="7" t="str">
        <f t="shared" si="2"/>
        <v/>
      </c>
      <c r="X94" s="6"/>
    </row>
    <row r="95" spans="1:24" ht="38.1" customHeight="1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6"/>
      <c r="T95" s="6"/>
      <c r="U95" s="6"/>
      <c r="V95" s="6"/>
      <c r="W95" s="7" t="str">
        <f t="shared" si="2"/>
        <v/>
      </c>
      <c r="X95" s="6"/>
    </row>
    <row r="96" spans="1:24" ht="38.1" customHeight="1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6"/>
      <c r="T96" s="6"/>
      <c r="U96" s="6"/>
      <c r="V96" s="6"/>
      <c r="W96" s="7" t="str">
        <f t="shared" si="2"/>
        <v/>
      </c>
      <c r="X96" s="6"/>
    </row>
    <row r="97" spans="1:24" ht="38.1" customHeight="1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6"/>
      <c r="T97" s="6"/>
      <c r="U97" s="6"/>
      <c r="V97" s="6"/>
      <c r="W97" s="7" t="str">
        <f t="shared" si="2"/>
        <v/>
      </c>
      <c r="X97" s="6"/>
    </row>
    <row r="98" spans="1:24" ht="38.1" customHeight="1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6"/>
      <c r="T98" s="6"/>
      <c r="U98" s="6"/>
      <c r="V98" s="6"/>
      <c r="W98" s="7" t="str">
        <f t="shared" si="2"/>
        <v/>
      </c>
      <c r="X98" s="6"/>
    </row>
    <row r="99" spans="1:24" ht="38.1" customHeight="1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6"/>
      <c r="T99" s="6"/>
      <c r="U99" s="6"/>
      <c r="V99" s="6"/>
      <c r="W99" s="7" t="str">
        <f t="shared" si="2"/>
        <v/>
      </c>
      <c r="X99" s="6"/>
    </row>
    <row r="100" spans="1:24" ht="38.1" customHeight="1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6"/>
      <c r="T100" s="6"/>
      <c r="U100" s="6"/>
      <c r="V100" s="6"/>
      <c r="W100" s="7" t="str">
        <f t="shared" si="2"/>
        <v/>
      </c>
      <c r="X100" s="6"/>
    </row>
    <row r="101" spans="1:24" ht="38.1" customHeight="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6"/>
      <c r="T101" s="6"/>
      <c r="U101" s="6"/>
      <c r="V101" s="6"/>
      <c r="W101" s="7" t="str">
        <f t="shared" si="2"/>
        <v/>
      </c>
      <c r="X101" s="6"/>
    </row>
    <row r="102" spans="1:24" ht="38.1" customHeight="1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6"/>
      <c r="T102" s="6"/>
      <c r="U102" s="6"/>
      <c r="V102" s="6"/>
      <c r="W102" s="7" t="str">
        <f t="shared" ref="W102:W105" si="3">IF(COUNTA(A102:V102)=0,"",N(M102)/2+N(N102)/3+N(O102)+N(P102)*1.5+N(Q102)/5+N(R102)*2-N(I102)-N(K102)*0.5-N(L102))</f>
        <v/>
      </c>
      <c r="X102" s="6"/>
    </row>
    <row r="103" spans="1:24" ht="38.1" customHeight="1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6"/>
      <c r="T103" s="6"/>
      <c r="U103" s="6"/>
      <c r="V103" s="6"/>
      <c r="W103" s="7" t="str">
        <f t="shared" si="3"/>
        <v/>
      </c>
      <c r="X103" s="6"/>
    </row>
    <row r="104" spans="1:24" ht="38.1" customHeight="1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6"/>
      <c r="T104" s="6"/>
      <c r="U104" s="6"/>
      <c r="V104" s="6"/>
      <c r="W104" s="7" t="str">
        <f t="shared" si="3"/>
        <v/>
      </c>
      <c r="X104" s="6"/>
    </row>
    <row r="105" spans="1:24" ht="38.1" customHeight="1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6"/>
      <c r="T105" s="6"/>
      <c r="U105" s="6"/>
      <c r="V105" s="6"/>
      <c r="W105" s="7" t="str">
        <f t="shared" si="3"/>
        <v/>
      </c>
      <c r="X105" s="6"/>
    </row>
  </sheetData>
  <mergeCells count="2">
    <mergeCell ref="A1:X1"/>
    <mergeCell ref="A3:X3"/>
  </mergeCells>
  <phoneticPr fontId="6" type="noConversion"/>
  <dataValidations count="6">
    <dataValidation type="list" sqref="C6:C105" xr:uid="{00000000-0002-0000-0100-000000000000}">
      <formula1>"Draft,Review,Ready,Tested,Implemented,Hold"</formula1>
    </dataValidation>
    <dataValidation type="list" sqref="D6:D105" xr:uid="{00000000-0002-0000-0100-000001000000}">
      <formula1>"Food,Resource,Combat,Explore,Build,Craft,Planning,Zombie,EventReward,Other"</formula1>
    </dataValidation>
    <dataValidation type="list" sqref="E6:E105" xr:uid="{00000000-0002-0000-0100-000002000000}">
      <formula1>"Food,Resource,Explore,Combat,Unrestricted,Additive"</formula1>
    </dataValidation>
    <dataValidation type="list" sqref="F6:F105" xr:uid="{00000000-0002-0000-0100-000003000000}">
      <formula1>"Start,Early,Mid,Late,Boss/Test"</formula1>
    </dataValidation>
    <dataValidation type="list" sqref="G6:G105" xr:uid="{00000000-0002-0000-0100-000004000000}">
      <formula1>"Default,Common,Uncommon,Rare,Very Rare"</formula1>
    </dataValidation>
    <dataValidation type="list" sqref="H6:H105" xr:uid="{00000000-0002-0000-0100-000005000000}">
      <formula1>"Starting Deck,Default Refill,Building Craft,Event,Exploration Pack,Construction,Debug/Test,Small Food Pack,Small Resource Pack,Small Tool Pack,Small Weapon Pack,Effect Refill,Region Limited"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"/>
  <sheetViews>
    <sheetView workbookViewId="0">
      <selection activeCell="I14" sqref="I14"/>
    </sheetView>
  </sheetViews>
  <sheetFormatPr defaultRowHeight="14.25"/>
  <cols>
    <col min="1" max="1" width="13.875" customWidth="1"/>
    <col min="2" max="4" width="13" customWidth="1"/>
    <col min="5" max="5" width="13.5" customWidth="1"/>
    <col min="6" max="7" width="15.125" customWidth="1"/>
    <col min="8" max="8" width="13.75" customWidth="1"/>
    <col min="9" max="9" width="14.25" customWidth="1"/>
    <col min="10" max="10" width="18.125" customWidth="1"/>
    <col min="11" max="11" width="12.75" customWidth="1"/>
    <col min="12" max="12" width="28.375" customWidth="1"/>
    <col min="13" max="13" width="15" customWidth="1"/>
    <col min="14" max="14" width="18.375" customWidth="1"/>
    <col min="15" max="15" width="17.25" customWidth="1"/>
    <col min="16" max="16" width="9.875" customWidth="1"/>
    <col min="17" max="17" width="19" customWidth="1"/>
    <col min="18" max="18" width="19.25" customWidth="1"/>
    <col min="19" max="19" width="20.875" customWidth="1"/>
    <col min="20" max="20" width="19.875" customWidth="1"/>
    <col min="21" max="21" width="22.75" customWidth="1"/>
    <col min="22" max="22" width="21.125" customWidth="1"/>
  </cols>
  <sheetData>
    <row r="1" spans="1:26" ht="15">
      <c r="A1" s="9" t="s">
        <v>191</v>
      </c>
      <c r="B1" s="10" t="s">
        <v>192</v>
      </c>
      <c r="C1" s="10" t="s">
        <v>193</v>
      </c>
      <c r="D1" s="10" t="s">
        <v>194</v>
      </c>
      <c r="E1" s="11" t="s">
        <v>195</v>
      </c>
      <c r="F1" s="11" t="s">
        <v>196</v>
      </c>
      <c r="G1" s="11" t="s">
        <v>197</v>
      </c>
      <c r="H1" s="11" t="s">
        <v>198</v>
      </c>
      <c r="I1" t="s">
        <v>199</v>
      </c>
      <c r="J1" s="11" t="s">
        <v>200</v>
      </c>
      <c r="K1" s="11" t="s">
        <v>201</v>
      </c>
      <c r="L1" s="11" t="s">
        <v>202</v>
      </c>
      <c r="M1" t="s">
        <v>203</v>
      </c>
      <c r="N1" s="11" t="s">
        <v>204</v>
      </c>
      <c r="O1" s="11" t="s">
        <v>205</v>
      </c>
      <c r="P1" t="s">
        <v>206</v>
      </c>
      <c r="Q1" s="11" t="s">
        <v>207</v>
      </c>
      <c r="R1" t="s">
        <v>208</v>
      </c>
      <c r="S1" t="s">
        <v>209</v>
      </c>
      <c r="T1" t="s">
        <v>210</v>
      </c>
      <c r="U1" s="10" t="s">
        <v>211</v>
      </c>
      <c r="V1" t="s">
        <v>212</v>
      </c>
      <c r="W1" t="s">
        <v>213</v>
      </c>
      <c r="X1" t="s">
        <v>214</v>
      </c>
      <c r="Y1" t="s">
        <v>215</v>
      </c>
      <c r="Z1" t="s">
        <v>216</v>
      </c>
    </row>
    <row r="2" spans="1:26" ht="30" customHeight="1">
      <c r="B2" t="s">
        <v>217</v>
      </c>
      <c r="C2" s="11" t="s">
        <v>218</v>
      </c>
      <c r="D2" t="s">
        <v>219</v>
      </c>
      <c r="E2" t="s">
        <v>220</v>
      </c>
      <c r="F2">
        <v>3</v>
      </c>
      <c r="G2">
        <v>20</v>
      </c>
      <c r="H2">
        <v>15</v>
      </c>
      <c r="I2" t="s">
        <v>221</v>
      </c>
      <c r="J2">
        <v>5</v>
      </c>
      <c r="L2" t="s">
        <v>222</v>
      </c>
      <c r="M2" s="10" t="s">
        <v>223</v>
      </c>
      <c r="N2" s="10" t="s">
        <v>224</v>
      </c>
      <c r="Q2" t="s">
        <v>225</v>
      </c>
      <c r="R2" t="s">
        <v>226</v>
      </c>
    </row>
    <row r="3" spans="1:26" ht="29.25" customHeight="1">
      <c r="B3" t="s">
        <v>227</v>
      </c>
      <c r="C3" t="s">
        <v>228</v>
      </c>
      <c r="D3" s="11" t="s">
        <v>229</v>
      </c>
      <c r="E3" t="s">
        <v>36</v>
      </c>
      <c r="F3">
        <v>1</v>
      </c>
      <c r="G3">
        <v>20</v>
      </c>
      <c r="H3">
        <v>40</v>
      </c>
      <c r="I3" t="s">
        <v>221</v>
      </c>
      <c r="J3">
        <v>8</v>
      </c>
      <c r="L3" s="10" t="s">
        <v>230</v>
      </c>
      <c r="M3" s="10" t="s">
        <v>231</v>
      </c>
      <c r="N3" s="10" t="s">
        <v>232</v>
      </c>
      <c r="O3" s="10" t="s">
        <v>224</v>
      </c>
      <c r="Q3" t="s">
        <v>233</v>
      </c>
      <c r="R3" t="s">
        <v>234</v>
      </c>
      <c r="S3" t="s">
        <v>235</v>
      </c>
    </row>
    <row r="4" spans="1:26" ht="29.25" customHeight="1">
      <c r="B4" t="s">
        <v>236</v>
      </c>
      <c r="C4" s="11" t="s">
        <v>218</v>
      </c>
      <c r="D4" s="11" t="s">
        <v>237</v>
      </c>
      <c r="E4" t="s">
        <v>220</v>
      </c>
      <c r="F4">
        <v>3</v>
      </c>
      <c r="G4">
        <v>20</v>
      </c>
      <c r="H4">
        <v>30</v>
      </c>
      <c r="I4" t="s">
        <v>221</v>
      </c>
      <c r="J4">
        <v>5</v>
      </c>
      <c r="M4" s="11" t="s">
        <v>238</v>
      </c>
      <c r="N4" s="11" t="s">
        <v>239</v>
      </c>
      <c r="O4" s="10" t="s">
        <v>240</v>
      </c>
      <c r="Q4" t="s">
        <v>241</v>
      </c>
      <c r="R4" t="s">
        <v>242</v>
      </c>
      <c r="S4" t="s">
        <v>243</v>
      </c>
    </row>
    <row r="5" spans="1:26" ht="29.25" customHeight="1">
      <c r="B5" t="s">
        <v>244</v>
      </c>
      <c r="C5" t="s">
        <v>218</v>
      </c>
      <c r="D5" t="s">
        <v>245</v>
      </c>
      <c r="E5" t="s">
        <v>220</v>
      </c>
      <c r="F5">
        <v>5</v>
      </c>
      <c r="G5">
        <v>20</v>
      </c>
      <c r="H5">
        <v>40</v>
      </c>
      <c r="I5" t="s">
        <v>221</v>
      </c>
      <c r="J5">
        <v>7</v>
      </c>
      <c r="L5" s="11" t="s">
        <v>246</v>
      </c>
      <c r="M5" s="11" t="s">
        <v>247</v>
      </c>
      <c r="N5" s="10" t="s">
        <v>248</v>
      </c>
      <c r="O5" s="10" t="s">
        <v>249</v>
      </c>
      <c r="Q5" t="s">
        <v>250</v>
      </c>
      <c r="R5" t="s">
        <v>251</v>
      </c>
      <c r="S5" t="s">
        <v>252</v>
      </c>
    </row>
    <row r="6" spans="1:26" ht="29.25" customHeight="1">
      <c r="B6" t="s">
        <v>253</v>
      </c>
      <c r="C6" t="s">
        <v>218</v>
      </c>
      <c r="D6" t="s">
        <v>219</v>
      </c>
      <c r="E6" t="s">
        <v>36</v>
      </c>
      <c r="F6">
        <v>4</v>
      </c>
      <c r="G6">
        <v>20</v>
      </c>
      <c r="H6">
        <v>30</v>
      </c>
      <c r="I6" t="s">
        <v>221</v>
      </c>
      <c r="J6">
        <v>4</v>
      </c>
      <c r="M6" t="s">
        <v>238</v>
      </c>
      <c r="N6" t="s">
        <v>254</v>
      </c>
      <c r="O6" t="s">
        <v>255</v>
      </c>
      <c r="Q6" t="s">
        <v>256</v>
      </c>
      <c r="R6" t="s">
        <v>257</v>
      </c>
      <c r="S6" t="s">
        <v>258</v>
      </c>
    </row>
    <row r="7" spans="1:26" ht="29.25" customHeight="1">
      <c r="B7" t="s">
        <v>259</v>
      </c>
      <c r="C7" t="s">
        <v>218</v>
      </c>
      <c r="D7" s="11" t="s">
        <v>260</v>
      </c>
      <c r="E7" t="s">
        <v>36</v>
      </c>
      <c r="F7">
        <v>4</v>
      </c>
      <c r="G7">
        <v>20</v>
      </c>
      <c r="H7">
        <v>30</v>
      </c>
      <c r="I7" t="s">
        <v>221</v>
      </c>
      <c r="J7">
        <v>5</v>
      </c>
      <c r="L7" s="11"/>
      <c r="M7" s="10" t="s">
        <v>261</v>
      </c>
      <c r="N7" s="10" t="s">
        <v>262</v>
      </c>
      <c r="O7" s="11" t="s">
        <v>263</v>
      </c>
      <c r="Q7" t="s">
        <v>264</v>
      </c>
      <c r="R7" t="s">
        <v>265</v>
      </c>
      <c r="S7" s="11" t="s">
        <v>266</v>
      </c>
    </row>
    <row r="8" spans="1:26" ht="29.25" customHeight="1">
      <c r="B8" t="s">
        <v>267</v>
      </c>
      <c r="C8" s="11" t="s">
        <v>268</v>
      </c>
      <c r="D8" t="s">
        <v>219</v>
      </c>
      <c r="E8" t="s">
        <v>269</v>
      </c>
      <c r="F8">
        <v>5</v>
      </c>
      <c r="G8">
        <v>20</v>
      </c>
      <c r="H8">
        <v>25</v>
      </c>
      <c r="I8" t="s">
        <v>221</v>
      </c>
      <c r="J8">
        <v>5</v>
      </c>
      <c r="L8" t="s">
        <v>270</v>
      </c>
      <c r="M8" s="11" t="s">
        <v>271</v>
      </c>
      <c r="N8" t="s">
        <v>272</v>
      </c>
      <c r="O8" s="10" t="s">
        <v>273</v>
      </c>
      <c r="Q8" t="s">
        <v>274</v>
      </c>
      <c r="R8" t="s">
        <v>265</v>
      </c>
      <c r="S8" s="11" t="s">
        <v>275</v>
      </c>
    </row>
    <row r="9" spans="1:26" ht="29.25" customHeight="1">
      <c r="B9" s="11" t="s">
        <v>276</v>
      </c>
      <c r="C9" s="11" t="s">
        <v>268</v>
      </c>
      <c r="D9" t="s">
        <v>229</v>
      </c>
      <c r="E9" t="s">
        <v>54</v>
      </c>
      <c r="F9">
        <v>8</v>
      </c>
      <c r="G9">
        <v>20</v>
      </c>
      <c r="H9">
        <v>70</v>
      </c>
      <c r="I9" t="s">
        <v>221</v>
      </c>
      <c r="J9">
        <v>8</v>
      </c>
      <c r="M9" s="10" t="s">
        <v>277</v>
      </c>
      <c r="N9" s="10" t="s">
        <v>278</v>
      </c>
      <c r="O9" t="s">
        <v>279</v>
      </c>
      <c r="Q9" t="s">
        <v>265</v>
      </c>
      <c r="R9" t="s">
        <v>280</v>
      </c>
      <c r="S9" t="s">
        <v>281</v>
      </c>
    </row>
    <row r="10" spans="1:26" ht="29.25" customHeight="1">
      <c r="B10" t="s">
        <v>282</v>
      </c>
      <c r="C10" s="11" t="s">
        <v>32</v>
      </c>
      <c r="D10" t="s">
        <v>219</v>
      </c>
      <c r="E10" t="s">
        <v>54</v>
      </c>
      <c r="F10">
        <v>4</v>
      </c>
      <c r="G10">
        <v>20</v>
      </c>
      <c r="H10">
        <v>30</v>
      </c>
      <c r="I10" t="s">
        <v>221</v>
      </c>
      <c r="J10">
        <v>5</v>
      </c>
      <c r="M10" s="11" t="s">
        <v>283</v>
      </c>
      <c r="N10" s="11" t="s">
        <v>284</v>
      </c>
      <c r="Q10" t="s">
        <v>285</v>
      </c>
      <c r="R10" t="s">
        <v>286</v>
      </c>
    </row>
    <row r="11" spans="1:26" ht="29.25" customHeight="1">
      <c r="B11" t="s">
        <v>287</v>
      </c>
      <c r="C11" s="11" t="s">
        <v>288</v>
      </c>
      <c r="D11" t="s">
        <v>245</v>
      </c>
      <c r="E11" t="s">
        <v>13</v>
      </c>
      <c r="F11">
        <v>10</v>
      </c>
      <c r="G11">
        <v>20</v>
      </c>
      <c r="H11">
        <v>50</v>
      </c>
      <c r="I11" t="s">
        <v>289</v>
      </c>
      <c r="J11" t="s">
        <v>109</v>
      </c>
      <c r="M11" s="11" t="s">
        <v>290</v>
      </c>
      <c r="N11" t="s">
        <v>279</v>
      </c>
      <c r="Q11" t="s">
        <v>291</v>
      </c>
      <c r="R11" t="s">
        <v>292</v>
      </c>
    </row>
    <row r="12" spans="1:26" ht="29.25" customHeight="1">
      <c r="B12" t="s">
        <v>293</v>
      </c>
      <c r="C12" t="s">
        <v>32</v>
      </c>
      <c r="D12" t="s">
        <v>219</v>
      </c>
      <c r="E12" t="s">
        <v>54</v>
      </c>
      <c r="F12">
        <v>5</v>
      </c>
      <c r="G12">
        <v>20</v>
      </c>
      <c r="H12">
        <v>30</v>
      </c>
      <c r="I12" t="s">
        <v>221</v>
      </c>
      <c r="J12">
        <v>6</v>
      </c>
      <c r="L12" s="10"/>
      <c r="M12" t="s">
        <v>294</v>
      </c>
      <c r="N12" s="10" t="s">
        <v>295</v>
      </c>
      <c r="Q12" t="s">
        <v>296</v>
      </c>
      <c r="R12" t="s">
        <v>297</v>
      </c>
    </row>
    <row r="13" spans="1:26" ht="29.25" customHeight="1">
      <c r="B13" t="s">
        <v>298</v>
      </c>
      <c r="C13" s="11" t="s">
        <v>299</v>
      </c>
      <c r="D13" t="s">
        <v>245</v>
      </c>
      <c r="E13" t="s">
        <v>13</v>
      </c>
      <c r="F13">
        <v>10</v>
      </c>
      <c r="G13">
        <v>20</v>
      </c>
      <c r="H13">
        <v>50</v>
      </c>
      <c r="I13" t="s">
        <v>221</v>
      </c>
      <c r="J13" s="11">
        <v>10</v>
      </c>
      <c r="L13" s="10" t="s">
        <v>300</v>
      </c>
      <c r="M13" t="s">
        <v>301</v>
      </c>
      <c r="N13" t="s">
        <v>302</v>
      </c>
      <c r="O13" s="11" t="s">
        <v>303</v>
      </c>
      <c r="Q13" t="s">
        <v>304</v>
      </c>
      <c r="R13" t="s">
        <v>305</v>
      </c>
      <c r="S13" t="s">
        <v>306</v>
      </c>
    </row>
    <row r="14" spans="1:26" ht="29.25" customHeight="1">
      <c r="B14" t="s">
        <v>307</v>
      </c>
      <c r="C14" t="s">
        <v>308</v>
      </c>
      <c r="D14" t="s">
        <v>245</v>
      </c>
      <c r="E14" t="s">
        <v>54</v>
      </c>
      <c r="F14">
        <v>1</v>
      </c>
      <c r="G14">
        <v>10</v>
      </c>
      <c r="H14">
        <v>10</v>
      </c>
      <c r="I14" t="s">
        <v>221</v>
      </c>
      <c r="J14" t="s">
        <v>109</v>
      </c>
      <c r="L14" t="s">
        <v>309</v>
      </c>
      <c r="M14" s="10" t="s">
        <v>310</v>
      </c>
      <c r="N14" s="10" t="s">
        <v>311</v>
      </c>
      <c r="O14" s="11" t="s">
        <v>279</v>
      </c>
      <c r="Q14" t="s">
        <v>312</v>
      </c>
      <c r="R14" s="11" t="s">
        <v>313</v>
      </c>
      <c r="S14" t="s">
        <v>314</v>
      </c>
    </row>
    <row r="15" spans="1:26" ht="29.25" customHeight="1">
      <c r="B15" s="11" t="s">
        <v>315</v>
      </c>
      <c r="C15" s="11" t="s">
        <v>268</v>
      </c>
      <c r="D15" t="s">
        <v>219</v>
      </c>
      <c r="E15" t="s">
        <v>13</v>
      </c>
      <c r="F15">
        <v>11</v>
      </c>
      <c r="G15">
        <v>20</v>
      </c>
      <c r="H15">
        <v>50</v>
      </c>
      <c r="I15" t="s">
        <v>221</v>
      </c>
      <c r="J15" t="s">
        <v>109</v>
      </c>
      <c r="K15" s="11" t="s">
        <v>316</v>
      </c>
      <c r="L15" s="11" t="s">
        <v>317</v>
      </c>
      <c r="M15" s="11" t="s">
        <v>318</v>
      </c>
      <c r="Q15" t="s">
        <v>319</v>
      </c>
    </row>
    <row r="16" spans="1:2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5"/>
  <sheetViews>
    <sheetView workbookViewId="0"/>
  </sheetViews>
  <sheetFormatPr defaultRowHeight="14.25"/>
  <cols>
    <col min="1" max="8" width="18.625" customWidth="1"/>
  </cols>
  <sheetData>
    <row r="1" spans="1:26" ht="75.75" customHeight="1">
      <c r="A1" s="12" t="s">
        <v>320</v>
      </c>
      <c r="B1" s="12" t="s">
        <v>321</v>
      </c>
      <c r="C1" s="12" t="s">
        <v>322</v>
      </c>
      <c r="D1" s="12" t="s">
        <v>323</v>
      </c>
      <c r="E1" s="12" t="s">
        <v>324</v>
      </c>
      <c r="F1" s="12" t="s">
        <v>325</v>
      </c>
      <c r="G1" s="12" t="s">
        <v>326</v>
      </c>
      <c r="H1" s="12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213</v>
      </c>
      <c r="S1" t="s">
        <v>214</v>
      </c>
      <c r="T1" t="s">
        <v>215</v>
      </c>
      <c r="U1" t="s">
        <v>216</v>
      </c>
      <c r="V1" t="s">
        <v>337</v>
      </c>
      <c r="W1" t="s">
        <v>338</v>
      </c>
      <c r="X1" t="s">
        <v>339</v>
      </c>
      <c r="Y1" t="s">
        <v>340</v>
      </c>
      <c r="Z1" t="s">
        <v>341</v>
      </c>
    </row>
    <row r="2" spans="1:26" ht="75.75" customHeight="1">
      <c r="A2" s="13" t="s">
        <v>342</v>
      </c>
      <c r="B2" s="13" t="s">
        <v>343</v>
      </c>
      <c r="C2" s="13" t="s">
        <v>344</v>
      </c>
      <c r="D2" s="13" t="s">
        <v>54</v>
      </c>
      <c r="E2" s="13">
        <v>2</v>
      </c>
      <c r="F2" s="14">
        <v>0.15</v>
      </c>
      <c r="G2" s="14">
        <v>0.1</v>
      </c>
      <c r="H2" s="14">
        <v>0.1</v>
      </c>
    </row>
    <row r="3" spans="1:26" ht="75.75" customHeight="1">
      <c r="A3" s="13" t="s">
        <v>345</v>
      </c>
      <c r="B3" s="13" t="s">
        <v>346</v>
      </c>
      <c r="C3" s="13" t="s">
        <v>344</v>
      </c>
      <c r="D3" s="13" t="s">
        <v>54</v>
      </c>
      <c r="E3" s="13">
        <v>2</v>
      </c>
      <c r="F3" s="14">
        <v>0.15</v>
      </c>
      <c r="G3" s="14">
        <v>0.1</v>
      </c>
      <c r="H3" s="14">
        <v>0.1</v>
      </c>
    </row>
    <row r="4" spans="1:26" ht="75.75" customHeight="1">
      <c r="A4" s="13" t="s">
        <v>347</v>
      </c>
      <c r="B4" s="13" t="s">
        <v>348</v>
      </c>
      <c r="C4" s="13" t="s">
        <v>344</v>
      </c>
      <c r="D4" s="13" t="s">
        <v>36</v>
      </c>
      <c r="E4" s="13">
        <v>3</v>
      </c>
      <c r="F4" s="14">
        <v>0.3</v>
      </c>
      <c r="G4" s="14">
        <v>0.1</v>
      </c>
      <c r="H4" s="14">
        <v>0.1</v>
      </c>
    </row>
    <row r="5" spans="1:26" ht="75.75" customHeight="1">
      <c r="A5" s="13" t="s">
        <v>349</v>
      </c>
      <c r="B5" s="16" t="s">
        <v>350</v>
      </c>
      <c r="C5" s="13" t="s">
        <v>351</v>
      </c>
      <c r="D5" s="13" t="s">
        <v>13</v>
      </c>
      <c r="E5" s="13">
        <v>4</v>
      </c>
      <c r="F5" s="14">
        <v>0.45</v>
      </c>
      <c r="G5" s="14">
        <v>0.15</v>
      </c>
      <c r="H5" s="14">
        <v>0.1</v>
      </c>
    </row>
    <row r="6" spans="1:26" ht="75.75" customHeight="1">
      <c r="A6" s="13" t="s">
        <v>352</v>
      </c>
      <c r="B6" s="13" t="s">
        <v>353</v>
      </c>
      <c r="C6" s="13" t="s">
        <v>351</v>
      </c>
      <c r="D6" s="13" t="s">
        <v>13</v>
      </c>
      <c r="E6" s="13">
        <v>6</v>
      </c>
      <c r="F6" s="14">
        <v>0.45</v>
      </c>
      <c r="G6" s="14">
        <v>0.15</v>
      </c>
      <c r="H6" s="14">
        <v>0.15</v>
      </c>
    </row>
    <row r="7" spans="1:26" ht="75.75" customHeight="1">
      <c r="A7" s="13"/>
      <c r="B7" s="13"/>
      <c r="C7" s="13"/>
      <c r="D7" s="13"/>
      <c r="E7" s="13"/>
      <c r="F7" s="14"/>
      <c r="G7" s="14"/>
      <c r="H7" s="14"/>
    </row>
    <row r="8" spans="1:26" ht="75.75" customHeight="1">
      <c r="A8" s="13"/>
      <c r="B8" s="13"/>
      <c r="C8" s="13"/>
      <c r="D8" s="13"/>
      <c r="E8" s="13"/>
      <c r="F8" s="14"/>
      <c r="G8" s="14"/>
      <c r="H8" s="14"/>
    </row>
    <row r="9" spans="1:26" ht="75.75" customHeight="1">
      <c r="A9" s="13"/>
      <c r="B9" s="13"/>
      <c r="C9" s="13"/>
      <c r="D9" s="13"/>
      <c r="E9" s="13"/>
      <c r="F9" s="14"/>
      <c r="G9" s="14"/>
      <c r="H9" s="14"/>
    </row>
    <row r="10" spans="1:26" ht="75.75" customHeight="1">
      <c r="A10" s="13"/>
      <c r="B10" s="13"/>
      <c r="C10" s="13"/>
      <c r="D10" s="13"/>
      <c r="E10" s="13"/>
      <c r="F10" s="14"/>
      <c r="G10" s="14"/>
      <c r="H10" s="14"/>
    </row>
    <row r="11" spans="1:26" ht="75.75" customHeight="1">
      <c r="A11" s="13"/>
      <c r="B11" s="13"/>
      <c r="C11" s="13"/>
      <c r="D11" s="13"/>
      <c r="E11" s="13"/>
      <c r="F11" s="14"/>
      <c r="G11" s="14"/>
      <c r="H11" s="14"/>
    </row>
    <row r="12" spans="1:26" ht="75.75" customHeight="1">
      <c r="A12" s="13"/>
      <c r="B12" s="13"/>
      <c r="C12" s="13"/>
      <c r="D12" s="13"/>
      <c r="E12" s="13"/>
      <c r="F12" s="14"/>
      <c r="G12" s="14"/>
      <c r="H12" s="14"/>
    </row>
    <row r="13" spans="1:26" ht="75.75" customHeight="1">
      <c r="A13" s="13"/>
      <c r="B13" s="13"/>
      <c r="C13" s="13"/>
      <c r="D13" s="13"/>
      <c r="E13" s="13"/>
      <c r="F13" s="14"/>
      <c r="G13" s="14"/>
      <c r="H13" s="14"/>
    </row>
    <row r="14" spans="1:26" ht="75.75" customHeight="1">
      <c r="A14" s="13"/>
      <c r="B14" s="13"/>
      <c r="C14" s="13"/>
      <c r="D14" s="13"/>
      <c r="E14" s="13"/>
      <c r="F14" s="14"/>
      <c r="G14" s="14"/>
      <c r="H14" s="14"/>
    </row>
    <row r="15" spans="1:26" ht="75.75" customHeight="1">
      <c r="A15" s="13"/>
      <c r="B15" s="13"/>
      <c r="C15" s="13"/>
      <c r="D15" s="13"/>
      <c r="E15" s="13"/>
      <c r="F15" s="14"/>
      <c r="G15" s="14"/>
      <c r="H15" s="14"/>
    </row>
    <row r="16" spans="1:26" ht="75.75" customHeight="1">
      <c r="A16" s="13"/>
      <c r="B16" s="13"/>
      <c r="C16" s="13"/>
      <c r="D16" s="13"/>
      <c r="E16" s="13"/>
      <c r="F16" s="14"/>
      <c r="G16" s="14"/>
      <c r="H16" s="14"/>
    </row>
    <row r="17" spans="1:8" ht="75.75" customHeight="1">
      <c r="A17" s="13"/>
      <c r="B17" s="13"/>
      <c r="C17" s="13"/>
      <c r="D17" s="13"/>
      <c r="E17" s="13"/>
      <c r="F17" s="14"/>
      <c r="G17" s="14"/>
      <c r="H17" s="14"/>
    </row>
    <row r="18" spans="1:8" ht="75.75" customHeight="1">
      <c r="A18" s="13"/>
      <c r="B18" s="13"/>
      <c r="C18" s="13"/>
      <c r="D18" s="13"/>
      <c r="E18" s="13"/>
      <c r="F18" s="14"/>
      <c r="G18" s="14"/>
      <c r="H18" s="14"/>
    </row>
    <row r="19" spans="1:8" ht="75.75" customHeight="1">
      <c r="A19" s="13"/>
      <c r="B19" s="13"/>
      <c r="C19" s="13"/>
      <c r="D19" s="13"/>
      <c r="E19" s="13"/>
      <c r="F19" s="14"/>
      <c r="G19" s="14"/>
      <c r="H19" s="14"/>
    </row>
    <row r="20" spans="1:8" ht="75.75" customHeight="1">
      <c r="A20" s="13"/>
      <c r="B20" s="13"/>
      <c r="C20" s="13"/>
      <c r="D20" s="13"/>
      <c r="E20" s="13"/>
      <c r="F20" s="14"/>
      <c r="G20" s="14"/>
      <c r="H20" s="14"/>
    </row>
    <row r="21" spans="1:8" ht="75.75" customHeight="1">
      <c r="A21" s="13"/>
      <c r="B21" s="13"/>
      <c r="C21" s="13"/>
      <c r="D21" s="13"/>
      <c r="E21" s="13"/>
      <c r="F21" s="14"/>
      <c r="G21" s="14"/>
      <c r="H21" s="14"/>
    </row>
    <row r="22" spans="1:8" ht="75.75" customHeight="1">
      <c r="A22" s="13"/>
      <c r="B22" s="13"/>
      <c r="C22" s="13"/>
      <c r="D22" s="13"/>
      <c r="E22" s="13"/>
      <c r="F22" s="14"/>
      <c r="G22" s="14"/>
      <c r="H22" s="14"/>
    </row>
    <row r="23" spans="1:8" ht="75.75" customHeight="1">
      <c r="A23" s="13"/>
      <c r="B23" s="13"/>
      <c r="C23" s="13"/>
      <c r="D23" s="13"/>
      <c r="E23" s="13"/>
      <c r="F23" s="14"/>
      <c r="G23" s="14"/>
      <c r="H23" s="14"/>
    </row>
    <row r="24" spans="1:8" ht="75.75" customHeight="1">
      <c r="A24" s="13"/>
      <c r="B24" s="13"/>
      <c r="C24" s="13"/>
      <c r="D24" s="13"/>
      <c r="E24" s="13"/>
      <c r="F24" s="14"/>
      <c r="G24" s="14"/>
      <c r="H24" s="14"/>
    </row>
    <row r="25" spans="1:8" ht="75.75" customHeight="1">
      <c r="A25" s="13"/>
      <c r="B25" s="13"/>
      <c r="C25" s="13"/>
      <c r="D25" s="13"/>
      <c r="E25" s="13"/>
      <c r="F25" s="14"/>
      <c r="G25" s="14"/>
      <c r="H25" s="14"/>
    </row>
    <row r="26" spans="1:8" ht="75.75" customHeight="1">
      <c r="A26" s="13"/>
      <c r="B26" s="13"/>
      <c r="C26" s="13"/>
      <c r="D26" s="13"/>
      <c r="E26" s="13"/>
      <c r="F26" s="14"/>
      <c r="G26" s="14"/>
      <c r="H26" s="14"/>
    </row>
    <row r="27" spans="1:8" ht="75.75" customHeight="1">
      <c r="A27" s="13"/>
      <c r="B27" s="13"/>
      <c r="C27" s="13"/>
      <c r="D27" s="13"/>
      <c r="E27" s="13"/>
      <c r="F27" s="14"/>
      <c r="G27" s="14"/>
      <c r="H27" s="14"/>
    </row>
    <row r="28" spans="1:8" ht="75.75" customHeight="1">
      <c r="A28" s="13"/>
      <c r="B28" s="13"/>
      <c r="C28" s="13"/>
      <c r="D28" s="13"/>
      <c r="E28" s="13"/>
      <c r="F28" s="14"/>
      <c r="G28" s="14"/>
      <c r="H28" s="14"/>
    </row>
    <row r="29" spans="1:8" ht="75.75" customHeight="1">
      <c r="A29" s="13"/>
      <c r="B29" s="13"/>
      <c r="C29" s="13"/>
      <c r="D29" s="13"/>
      <c r="E29" s="13"/>
      <c r="F29" s="14"/>
      <c r="G29" s="14"/>
      <c r="H29" s="14"/>
    </row>
    <row r="30" spans="1:8" ht="75.75" customHeight="1">
      <c r="A30" s="13"/>
      <c r="B30" s="13"/>
      <c r="C30" s="13"/>
      <c r="D30" s="13"/>
      <c r="E30" s="13"/>
      <c r="F30" s="14"/>
      <c r="G30" s="14"/>
      <c r="H30" s="14"/>
    </row>
    <row r="31" spans="1:8" ht="75.75" customHeight="1">
      <c r="A31" s="13"/>
      <c r="B31" s="13"/>
      <c r="C31" s="13"/>
      <c r="D31" s="13"/>
      <c r="E31" s="13"/>
      <c r="F31" s="14"/>
      <c r="G31" s="14"/>
      <c r="H31" s="14"/>
    </row>
    <row r="32" spans="1:8" ht="75.75" customHeight="1">
      <c r="A32" s="13"/>
      <c r="B32" s="13"/>
      <c r="C32" s="13"/>
      <c r="D32" s="13"/>
      <c r="E32" s="13"/>
      <c r="F32" s="14"/>
      <c r="G32" s="14"/>
      <c r="H32" s="14"/>
    </row>
    <row r="33" spans="1:8" ht="75.75" customHeight="1">
      <c r="A33" s="13"/>
      <c r="B33" s="13"/>
      <c r="C33" s="13"/>
      <c r="D33" s="13"/>
      <c r="E33" s="13"/>
      <c r="F33" s="14"/>
      <c r="G33" s="14"/>
      <c r="H33" s="14"/>
    </row>
    <row r="34" spans="1:8" ht="75.75" customHeight="1">
      <c r="A34" s="13"/>
      <c r="B34" s="13"/>
      <c r="C34" s="13"/>
      <c r="D34" s="13"/>
      <c r="E34" s="13"/>
      <c r="F34" s="14"/>
      <c r="G34" s="14"/>
      <c r="H34" s="14"/>
    </row>
    <row r="35" spans="1:8" ht="75.75" customHeight="1">
      <c r="A35" s="13"/>
      <c r="B35" s="13"/>
      <c r="C35" s="13"/>
      <c r="D35" s="13"/>
      <c r="E35" s="13"/>
      <c r="F35" s="14"/>
      <c r="G35" s="14"/>
      <c r="H35" s="14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tabSelected="1" workbookViewId="0">
      <selection activeCell="D16" sqref="D16"/>
    </sheetView>
  </sheetViews>
  <sheetFormatPr defaultRowHeight="14.25"/>
  <cols>
    <col min="1" max="7" width="18.625" customWidth="1"/>
    <col min="8" max="8" width="14" customWidth="1"/>
    <col min="9" max="9" width="22" customWidth="1"/>
    <col min="10" max="11" width="12" customWidth="1"/>
  </cols>
  <sheetData>
    <row r="1" spans="1:26" ht="75.75" customHeight="1">
      <c r="A1" s="12" t="s">
        <v>320</v>
      </c>
      <c r="B1" s="12" t="s">
        <v>354</v>
      </c>
      <c r="C1" s="15" t="s">
        <v>355</v>
      </c>
      <c r="D1" s="15" t="s">
        <v>639</v>
      </c>
      <c r="E1" s="12" t="s">
        <v>356</v>
      </c>
      <c r="F1" s="12" t="s">
        <v>357</v>
      </c>
      <c r="G1" s="12" t="s">
        <v>640</v>
      </c>
      <c r="H1" s="15" t="s">
        <v>321</v>
      </c>
      <c r="I1" s="13" t="s">
        <v>641</v>
      </c>
      <c r="J1" s="20" t="s">
        <v>642</v>
      </c>
      <c r="K1" s="20" t="s">
        <v>643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213</v>
      </c>
      <c r="S1" t="s">
        <v>214</v>
      </c>
      <c r="T1" t="s">
        <v>215</v>
      </c>
      <c r="U1" t="s">
        <v>216</v>
      </c>
      <c r="V1" t="s">
        <v>337</v>
      </c>
      <c r="W1" t="s">
        <v>338</v>
      </c>
      <c r="X1" t="s">
        <v>339</v>
      </c>
      <c r="Y1" t="s">
        <v>340</v>
      </c>
      <c r="Z1" t="s">
        <v>341</v>
      </c>
    </row>
    <row r="2" spans="1:26" ht="75.75" customHeight="1">
      <c r="A2" s="13" t="s">
        <v>342</v>
      </c>
      <c r="B2" s="17" t="str">
        <f>IF(C2="","",IFERROR(INDEX($B$1:B1,MATCH(C2,$C$1:C1,0)),I2))</f>
        <v>PACK-COMMON-FOOD-01</v>
      </c>
      <c r="C2" s="16" t="s">
        <v>358</v>
      </c>
      <c r="D2" s="13" t="s">
        <v>359</v>
      </c>
      <c r="E2" s="13">
        <v>4</v>
      </c>
      <c r="F2" s="13">
        <v>70</v>
      </c>
      <c r="G2" s="13">
        <v>4</v>
      </c>
      <c r="H2" s="23" t="str">
        <f>IF(A2="","",IFERROR(INDEX('Region Design'!$B$2:$B$100,MATCH(A2,'Region Design'!$A$2:$A$100,0)),"找不到地區"))</f>
        <v>廢棄超市</v>
      </c>
      <c r="I2" s="23" t="s">
        <v>644</v>
      </c>
      <c r="J2" s="21">
        <f t="shared" ref="J2:J33" si="0">IF(A2="","",IFERROR(F2*G2/E2,0))</f>
        <v>70</v>
      </c>
      <c r="K2" s="22">
        <f t="shared" ref="K2:K33" si="1">IF(A2="","",IFERROR(J2/SUMIF($A$2:$A$100,A2,$J$2:$J$100),0))</f>
        <v>0.7</v>
      </c>
    </row>
    <row r="3" spans="1:26" ht="75.75" customHeight="1">
      <c r="A3" s="13" t="s">
        <v>342</v>
      </c>
      <c r="B3" s="18" t="str">
        <f>IF(C3="","",IFERROR(INDEX($B$1:B2,MATCH(C3,$C$1:C2,0)),I3))</f>
        <v>PACK-UNCOMMON-FOOD-01</v>
      </c>
      <c r="C3" s="16" t="s">
        <v>360</v>
      </c>
      <c r="D3" s="16" t="s">
        <v>361</v>
      </c>
      <c r="E3" s="13">
        <v>2</v>
      </c>
      <c r="F3" s="13">
        <v>25</v>
      </c>
      <c r="G3" s="13">
        <v>2</v>
      </c>
      <c r="H3" s="23" t="str">
        <f>IF(A3="","",IFERROR(INDEX('Region Design'!$B$2:$B$100,MATCH(A3,'Region Design'!$A$2:$A$100,0)),"找不到地區"))</f>
        <v>廢棄超市</v>
      </c>
      <c r="I3" s="23" t="s">
        <v>645</v>
      </c>
      <c r="J3" s="21">
        <f t="shared" si="0"/>
        <v>25</v>
      </c>
      <c r="K3" s="22">
        <f t="shared" si="1"/>
        <v>0.25</v>
      </c>
    </row>
    <row r="4" spans="1:26" ht="75" customHeight="1">
      <c r="A4" s="13" t="s">
        <v>342</v>
      </c>
      <c r="B4" s="17" t="str">
        <f>IF(C4="","",IFERROR(INDEX($B$1:B3,MATCH(C4,$C$1:C3,0)),I4))</f>
        <v>PACK-RARE-SUPPLY-01</v>
      </c>
      <c r="C4" s="16" t="s">
        <v>362</v>
      </c>
      <c r="D4" s="16" t="s">
        <v>363</v>
      </c>
      <c r="E4" s="13">
        <v>1</v>
      </c>
      <c r="F4" s="13">
        <v>5</v>
      </c>
      <c r="G4" s="13">
        <v>1</v>
      </c>
      <c r="H4" s="23" t="str">
        <f>IF(A4="","",IFERROR(INDEX('Region Design'!$B$2:$B$100,MATCH(A4,'Region Design'!$A$2:$A$100,0)),"找不到地區"))</f>
        <v>廢棄超市</v>
      </c>
      <c r="I4" s="23" t="s">
        <v>646</v>
      </c>
      <c r="J4" s="21">
        <f t="shared" si="0"/>
        <v>5</v>
      </c>
      <c r="K4" s="22">
        <f t="shared" si="1"/>
        <v>0.05</v>
      </c>
    </row>
    <row r="5" spans="1:26" ht="75.75" customHeight="1">
      <c r="A5" s="13" t="s">
        <v>345</v>
      </c>
      <c r="B5" s="17" t="str">
        <f>IF(C5="","",IFERROR(INDEX($B$1:B4,MATCH(C5,$C$1:C4,0)),I5))</f>
        <v>PACK-COMMON-RESOURCE-01</v>
      </c>
      <c r="C5" s="16" t="s">
        <v>364</v>
      </c>
      <c r="D5" s="13" t="s">
        <v>359</v>
      </c>
      <c r="E5" s="13">
        <v>2</v>
      </c>
      <c r="F5" s="13">
        <v>35</v>
      </c>
      <c r="G5" s="13">
        <v>2</v>
      </c>
      <c r="H5" s="23" t="str">
        <f>IF(A5="","",IFERROR(INDEX('Region Design'!$B$2:$B$100,MATCH(A5,'Region Design'!$A$2:$A$100,0)),"找不到地區"))</f>
        <v>住宅區</v>
      </c>
      <c r="I5" s="23" t="s">
        <v>647</v>
      </c>
      <c r="J5" s="21">
        <f t="shared" si="0"/>
        <v>35</v>
      </c>
      <c r="K5" s="22">
        <f t="shared" si="1"/>
        <v>0.35</v>
      </c>
    </row>
    <row r="6" spans="1:26" ht="75.75" customHeight="1">
      <c r="A6" s="13" t="s">
        <v>345</v>
      </c>
      <c r="B6" s="17" t="str">
        <f>IF(C6="","",IFERROR(INDEX($B$1:B5,MATCH(C6,$C$1:C5,0)),I6))</f>
        <v>PACK-COMMON-FOOD-01</v>
      </c>
      <c r="C6" s="16" t="s">
        <v>358</v>
      </c>
      <c r="D6" s="13" t="s">
        <v>359</v>
      </c>
      <c r="E6" s="13">
        <v>2</v>
      </c>
      <c r="F6" s="13">
        <v>35</v>
      </c>
      <c r="G6" s="13">
        <v>2</v>
      </c>
      <c r="H6" s="23" t="str">
        <f>IF(A6="","",IFERROR(INDEX('Region Design'!$B$2:$B$100,MATCH(A6,'Region Design'!$A$2:$A$100,0)),"找不到地區"))</f>
        <v>住宅區</v>
      </c>
      <c r="I6" s="23"/>
      <c r="J6" s="21">
        <f t="shared" si="0"/>
        <v>35</v>
      </c>
      <c r="K6" s="22">
        <f t="shared" si="1"/>
        <v>0.35</v>
      </c>
    </row>
    <row r="7" spans="1:26" ht="75.75" customHeight="1">
      <c r="A7" s="13" t="s">
        <v>345</v>
      </c>
      <c r="B7" s="17" t="str">
        <f>IF(C7="","",IFERROR(INDEX($B$1:B6,MATCH(C7,$C$1:C6,0)),I7))</f>
        <v>PACK-UNCOMMON-RESOURCE-01</v>
      </c>
      <c r="C7" s="13" t="s">
        <v>365</v>
      </c>
      <c r="D7" s="13" t="s">
        <v>361</v>
      </c>
      <c r="E7" s="13">
        <v>2</v>
      </c>
      <c r="F7" s="13">
        <v>25</v>
      </c>
      <c r="G7" s="13">
        <v>2</v>
      </c>
      <c r="H7" s="23" t="str">
        <f>IF(A7="","",IFERROR(INDEX('Region Design'!$B$2:$B$100,MATCH(A7,'Region Design'!$A$2:$A$100,0)),"找不到地區"))</f>
        <v>住宅區</v>
      </c>
      <c r="I7" s="23" t="s">
        <v>648</v>
      </c>
      <c r="J7" s="21">
        <f t="shared" si="0"/>
        <v>25</v>
      </c>
      <c r="K7" s="22">
        <f t="shared" si="1"/>
        <v>0.25</v>
      </c>
    </row>
    <row r="8" spans="1:26" ht="75.75" customHeight="1">
      <c r="A8" s="13" t="s">
        <v>345</v>
      </c>
      <c r="B8" s="18" t="str">
        <f>IF(C8="","",IFERROR(INDEX($B$1:B7,MATCH(C8,$C$1:C7,0)),I8))</f>
        <v>PACK-REGION-002-01</v>
      </c>
      <c r="C8" s="13" t="s">
        <v>366</v>
      </c>
      <c r="D8" s="13" t="s">
        <v>363</v>
      </c>
      <c r="E8" s="13">
        <v>1</v>
      </c>
      <c r="F8" s="13">
        <v>5</v>
      </c>
      <c r="G8" s="13">
        <v>1</v>
      </c>
      <c r="H8" s="23" t="str">
        <f>IF(A8="","",IFERROR(INDEX('Region Design'!$B$2:$B$100,MATCH(A8,'Region Design'!$A$2:$A$100,0)),"找不到地區"))</f>
        <v>住宅區</v>
      </c>
      <c r="I8" s="23" t="s">
        <v>649</v>
      </c>
      <c r="J8" s="21">
        <f t="shared" si="0"/>
        <v>5</v>
      </c>
      <c r="K8" s="22">
        <f t="shared" si="1"/>
        <v>0.05</v>
      </c>
    </row>
    <row r="9" spans="1:26" ht="75.75" customHeight="1">
      <c r="A9" s="13" t="s">
        <v>347</v>
      </c>
      <c r="B9" s="18" t="str">
        <f>IF(C9="","",IFERROR(INDEX($B$1:B8,MATCH(C9,$C$1:C8,0)),I9))</f>
        <v>PACK-COMMON-RESOURCE-01</v>
      </c>
      <c r="C9" s="16" t="s">
        <v>364</v>
      </c>
      <c r="D9" s="13" t="s">
        <v>359</v>
      </c>
      <c r="E9" s="13">
        <v>4</v>
      </c>
      <c r="F9" s="13">
        <v>70</v>
      </c>
      <c r="G9" s="13">
        <v>4</v>
      </c>
      <c r="H9" s="23" t="str">
        <f>IF(A9="","",IFERROR(INDEX('Region Design'!$B$2:$B$100,MATCH(A9,'Region Design'!$A$2:$A$100,0)),"找不到地區"))</f>
        <v>消防局</v>
      </c>
      <c r="I9" s="23"/>
      <c r="J9" s="21">
        <f t="shared" si="0"/>
        <v>70</v>
      </c>
      <c r="K9" s="22">
        <f t="shared" si="1"/>
        <v>0.7</v>
      </c>
    </row>
    <row r="10" spans="1:26" ht="75.75" customHeight="1">
      <c r="A10" s="13" t="s">
        <v>347</v>
      </c>
      <c r="B10" s="18" t="str">
        <f>IF(C10="","",IFERROR(INDEX($B$1:B9,MATCH(C10,$C$1:C9,0)),I10))</f>
        <v>PACK-UNCOMMON-RESOURCE-01</v>
      </c>
      <c r="C10" s="13" t="s">
        <v>365</v>
      </c>
      <c r="D10" s="13" t="s">
        <v>361</v>
      </c>
      <c r="E10" s="13">
        <v>2</v>
      </c>
      <c r="F10" s="13">
        <v>25</v>
      </c>
      <c r="G10" s="13">
        <v>2</v>
      </c>
      <c r="H10" s="23" t="str">
        <f>IF(A10="","",IFERROR(INDEX('Region Design'!$B$2:$B$100,MATCH(A10,'Region Design'!$A$2:$A$100,0)),"找不到地區"))</f>
        <v>消防局</v>
      </c>
      <c r="I10" s="23"/>
      <c r="J10" s="21">
        <f t="shared" si="0"/>
        <v>25</v>
      </c>
      <c r="K10" s="22">
        <f t="shared" si="1"/>
        <v>0.25</v>
      </c>
    </row>
    <row r="11" spans="1:26" ht="75.75" customHeight="1">
      <c r="A11" s="13" t="s">
        <v>347</v>
      </c>
      <c r="B11" s="18" t="str">
        <f>IF(C11="","",IFERROR(INDEX($B$1:B10,MATCH(C11,$C$1:C10,0)),I11))</f>
        <v>PACK-FireDepartment-01</v>
      </c>
      <c r="C11" s="13" t="s">
        <v>367</v>
      </c>
      <c r="D11" s="13" t="s">
        <v>363</v>
      </c>
      <c r="E11" s="13">
        <v>1</v>
      </c>
      <c r="F11" s="13">
        <v>5</v>
      </c>
      <c r="G11" s="13">
        <v>1</v>
      </c>
      <c r="H11" s="23" t="str">
        <f>IF(A11="","",IFERROR(INDEX('Region Design'!$B$2:$B$100,MATCH(A11,'Region Design'!$A$2:$A$100,0)),"找不到地區"))</f>
        <v>消防局</v>
      </c>
      <c r="I11" s="23" t="s">
        <v>650</v>
      </c>
      <c r="J11" s="21">
        <f t="shared" si="0"/>
        <v>5</v>
      </c>
      <c r="K11" s="22">
        <f t="shared" si="1"/>
        <v>0.05</v>
      </c>
    </row>
    <row r="12" spans="1:26" ht="75.75" customHeight="1">
      <c r="A12" s="13" t="s">
        <v>349</v>
      </c>
      <c r="B12" s="18" t="str">
        <f>IF(C12="","",IFERROR(INDEX($B$1:B11,MATCH(C12,$C$1:C11,0)),I12))</f>
        <v>PACK-COMMON-RESOURCE-01</v>
      </c>
      <c r="C12" s="13" t="s">
        <v>364</v>
      </c>
      <c r="D12" s="13" t="s">
        <v>359</v>
      </c>
      <c r="E12" s="13">
        <v>3</v>
      </c>
      <c r="F12" s="13">
        <v>60</v>
      </c>
      <c r="G12" s="13">
        <v>3</v>
      </c>
      <c r="H12" s="23" t="str">
        <f>IF(A12="","",IFERROR(INDEX('Region Design'!$B$2:$B$100,MATCH(A12,'Region Design'!$A$2:$A$100,0)),"找不到地區"))</f>
        <v>五金行</v>
      </c>
      <c r="I12" s="23"/>
      <c r="J12" s="21">
        <f t="shared" si="0"/>
        <v>60</v>
      </c>
      <c r="K12" s="22">
        <f t="shared" si="1"/>
        <v>0.6</v>
      </c>
    </row>
    <row r="13" spans="1:26" ht="75.75" customHeight="1">
      <c r="A13" s="13" t="s">
        <v>349</v>
      </c>
      <c r="B13" s="18" t="str">
        <f>IF(C13="","",IFERROR(INDEX($B$1:B12,MATCH(C13,$C$1:C12,0)),I13))</f>
        <v>PACK-UNCOMMON-RESOURCE-01</v>
      </c>
      <c r="C13" s="13" t="s">
        <v>365</v>
      </c>
      <c r="D13" s="13" t="s">
        <v>361</v>
      </c>
      <c r="E13" s="13">
        <v>3</v>
      </c>
      <c r="F13" s="13">
        <v>30</v>
      </c>
      <c r="G13" s="13">
        <v>3</v>
      </c>
      <c r="H13" s="23" t="str">
        <f>IF(A13="","",IFERROR(INDEX('Region Design'!$B$2:$B$100,MATCH(A13,'Region Design'!$A$2:$A$100,0)),"找不到地區"))</f>
        <v>五金行</v>
      </c>
      <c r="I13" s="23"/>
      <c r="J13" s="21">
        <f t="shared" si="0"/>
        <v>30</v>
      </c>
      <c r="K13" s="22">
        <f t="shared" si="1"/>
        <v>0.3</v>
      </c>
    </row>
    <row r="14" spans="1:26" ht="75.75" customHeight="1">
      <c r="A14" s="13" t="s">
        <v>349</v>
      </c>
      <c r="B14" s="17" t="str">
        <f>IF(C14="","",IFERROR(INDEX($B$1:B13,MATCH(C14,$C$1:C13,0)),I14))</f>
        <v>PACK-RARE-RESOURCE-01</v>
      </c>
      <c r="C14" s="13" t="s">
        <v>368</v>
      </c>
      <c r="D14" s="13" t="s">
        <v>363</v>
      </c>
      <c r="E14" s="13">
        <v>2</v>
      </c>
      <c r="F14" s="13">
        <v>10</v>
      </c>
      <c r="G14" s="13">
        <v>2</v>
      </c>
      <c r="H14" s="23" t="str">
        <f>IF(A14="","",IFERROR(INDEX('Region Design'!$B$2:$B$100,MATCH(A14,'Region Design'!$A$2:$A$100,0)),"找不到地區"))</f>
        <v>五金行</v>
      </c>
      <c r="I14" s="23" t="s">
        <v>651</v>
      </c>
      <c r="J14" s="21">
        <f t="shared" si="0"/>
        <v>10</v>
      </c>
      <c r="K14" s="22">
        <f t="shared" si="1"/>
        <v>0.1</v>
      </c>
    </row>
    <row r="15" spans="1:26" ht="75.75" customHeight="1">
      <c r="A15" s="13" t="s">
        <v>352</v>
      </c>
      <c r="B15" s="18" t="str">
        <f>IF(C15="","",IFERROR(INDEX($B$1:B14,MATCH(C15,$C$1:C14,0)),I15))</f>
        <v>PACK-UNCOMMON-FOOD-01</v>
      </c>
      <c r="C15" s="16" t="s">
        <v>360</v>
      </c>
      <c r="D15" s="13" t="s">
        <v>359</v>
      </c>
      <c r="E15" s="13">
        <v>4</v>
      </c>
      <c r="F15" s="13">
        <v>35</v>
      </c>
      <c r="G15" s="13">
        <v>4</v>
      </c>
      <c r="H15" s="23" t="str">
        <f>IF(A15="","",IFERROR(INDEX('Region Design'!$B$2:$B$100,MATCH(A15,'Region Design'!$A$2:$A$100,0)),"找不到地區"))</f>
        <v>倉庫</v>
      </c>
      <c r="I15" s="23"/>
      <c r="J15" s="21">
        <f t="shared" si="0"/>
        <v>35</v>
      </c>
      <c r="K15" s="22">
        <f t="shared" si="1"/>
        <v>0.35</v>
      </c>
    </row>
    <row r="16" spans="1:26" ht="75.75" customHeight="1">
      <c r="A16" s="13" t="s">
        <v>352</v>
      </c>
      <c r="B16" s="18" t="str">
        <f>IF(C16="","",IFERROR(INDEX($B$1:B15,MATCH(C16,$C$1:C15,0)),I16))</f>
        <v>PACK-UNCOMMON-RESOURCE-01</v>
      </c>
      <c r="C16" s="16" t="s">
        <v>653</v>
      </c>
      <c r="D16" s="13" t="s">
        <v>359</v>
      </c>
      <c r="E16" s="13">
        <v>4</v>
      </c>
      <c r="F16" s="13">
        <v>35</v>
      </c>
      <c r="G16" s="13">
        <v>4</v>
      </c>
      <c r="H16" s="23" t="str">
        <f>IF(A16="","",IFERROR(INDEX('Region Design'!$B$2:$B$100,MATCH(A16,'Region Design'!$A$2:$A$100,0)),"找不到地區"))</f>
        <v>倉庫</v>
      </c>
      <c r="I16" s="23"/>
      <c r="J16" s="21">
        <f t="shared" si="0"/>
        <v>35</v>
      </c>
      <c r="K16" s="22">
        <f t="shared" si="1"/>
        <v>0.35</v>
      </c>
    </row>
    <row r="17" spans="1:11" ht="75.75" customHeight="1">
      <c r="A17" s="13" t="s">
        <v>352</v>
      </c>
      <c r="B17" s="17" t="str">
        <f>IF(C17="","",IFERROR(INDEX($B$1:B16,MATCH(C17,$C$1:C16,0)),I17))</f>
        <v>PACK-RARE-SUPPLY-01</v>
      </c>
      <c r="C17" s="16" t="s">
        <v>362</v>
      </c>
      <c r="D17" s="13" t="s">
        <v>361</v>
      </c>
      <c r="E17" s="13">
        <v>3</v>
      </c>
      <c r="F17" s="13">
        <v>25</v>
      </c>
      <c r="G17" s="13">
        <v>3</v>
      </c>
      <c r="H17" s="23" t="str">
        <f>IF(A17="","",IFERROR(INDEX('Region Design'!$B$2:$B$100,MATCH(A17,'Region Design'!$A$2:$A$100,0)),"找不到地區"))</f>
        <v>倉庫</v>
      </c>
      <c r="I17" s="23"/>
      <c r="J17" s="21">
        <f t="shared" si="0"/>
        <v>25</v>
      </c>
      <c r="K17" s="22">
        <f t="shared" si="1"/>
        <v>0.25</v>
      </c>
    </row>
    <row r="18" spans="1:11" ht="75.75" customHeight="1">
      <c r="A18" s="13" t="s">
        <v>352</v>
      </c>
      <c r="B18" s="17" t="str">
        <f>IF(C18="","",IFERROR(INDEX($B$1:B17,MATCH(C18,$C$1:C17,0)),I18))</f>
        <v>PACK-STOREHOUSE-01</v>
      </c>
      <c r="C18" s="13" t="s">
        <v>369</v>
      </c>
      <c r="D18" s="13" t="s">
        <v>363</v>
      </c>
      <c r="E18" s="13">
        <v>2</v>
      </c>
      <c r="F18" s="13">
        <v>5</v>
      </c>
      <c r="G18" s="13">
        <v>2</v>
      </c>
      <c r="H18" s="23" t="str">
        <f>IF(A18="","",IFERROR(INDEX('Region Design'!$B$2:$B$100,MATCH(A18,'Region Design'!$A$2:$A$100,0)),"找不到地區"))</f>
        <v>倉庫</v>
      </c>
      <c r="I18" s="23" t="s">
        <v>652</v>
      </c>
      <c r="J18" s="21">
        <f t="shared" si="0"/>
        <v>5</v>
      </c>
      <c r="K18" s="22">
        <f t="shared" si="1"/>
        <v>0.05</v>
      </c>
    </row>
    <row r="19" spans="1:11" ht="75.75" customHeight="1">
      <c r="A19" s="13"/>
      <c r="B19" s="17" t="str">
        <f>IF(C19="","",IFERROR(INDEX($B$1:B18,MATCH(C19,$C$1:C18,0)),I19))</f>
        <v/>
      </c>
      <c r="C19" s="13"/>
      <c r="D19" s="13"/>
      <c r="E19" s="13"/>
      <c r="F19" s="13"/>
      <c r="G19" s="13"/>
      <c r="H19" s="23" t="str">
        <f>IF(A19="","",IFERROR(INDEX('Region Design'!$B$2:$B$100,MATCH(A19,'Region Design'!$A$2:$A$100,0)),"找不到地區"))</f>
        <v/>
      </c>
      <c r="I19" s="23"/>
      <c r="J19" s="21" t="str">
        <f t="shared" si="0"/>
        <v/>
      </c>
      <c r="K19" s="22" t="str">
        <f t="shared" si="1"/>
        <v/>
      </c>
    </row>
    <row r="20" spans="1:11" ht="75.75" customHeight="1">
      <c r="A20" s="13"/>
      <c r="B20" s="17" t="str">
        <f>IF(C20="","",IFERROR(INDEX($B$1:B19,MATCH(C20,$C$1:C19,0)),I20))</f>
        <v/>
      </c>
      <c r="C20" s="13"/>
      <c r="D20" s="13"/>
      <c r="E20" s="13"/>
      <c r="F20" s="13"/>
      <c r="G20" s="13"/>
      <c r="H20" s="23" t="str">
        <f>IF(A20="","",IFERROR(INDEX('Region Design'!$B$2:$B$100,MATCH(A20,'Region Design'!$A$2:$A$100,0)),"找不到地區"))</f>
        <v/>
      </c>
      <c r="I20" s="23"/>
      <c r="J20" s="21" t="str">
        <f t="shared" si="0"/>
        <v/>
      </c>
      <c r="K20" s="22" t="str">
        <f t="shared" si="1"/>
        <v/>
      </c>
    </row>
    <row r="21" spans="1:11" ht="75.75" customHeight="1">
      <c r="A21" s="13"/>
      <c r="B21" s="17" t="str">
        <f>IF(C21="","",IFERROR(INDEX($B$1:B20,MATCH(C21,$C$1:C20,0)),I21))</f>
        <v/>
      </c>
      <c r="C21" s="13"/>
      <c r="D21" s="13"/>
      <c r="E21" s="13"/>
      <c r="F21" s="13"/>
      <c r="G21" s="13"/>
      <c r="H21" s="23" t="str">
        <f>IF(A21="","",IFERROR(INDEX('Region Design'!$B$2:$B$100,MATCH(A21,'Region Design'!$A$2:$A$100,0)),"找不到地區"))</f>
        <v/>
      </c>
      <c r="I21" s="23"/>
      <c r="J21" s="21" t="str">
        <f t="shared" si="0"/>
        <v/>
      </c>
      <c r="K21" s="22" t="str">
        <f t="shared" si="1"/>
        <v/>
      </c>
    </row>
    <row r="22" spans="1:11" ht="75.75" customHeight="1">
      <c r="A22" s="13"/>
      <c r="B22" s="17" t="str">
        <f>IF(C22="","",IFERROR(INDEX($B$1:B21,MATCH(C22,$C$1:C21,0)),I22))</f>
        <v/>
      </c>
      <c r="C22" s="13"/>
      <c r="D22" s="13"/>
      <c r="E22" s="13"/>
      <c r="F22" s="13"/>
      <c r="G22" s="13"/>
      <c r="H22" s="23" t="str">
        <f>IF(A22="","",IFERROR(INDEX('Region Design'!$B$2:$B$100,MATCH(A22,'Region Design'!$A$2:$A$100,0)),"找不到地區"))</f>
        <v/>
      </c>
      <c r="I22" s="23"/>
      <c r="J22" s="21" t="str">
        <f t="shared" si="0"/>
        <v/>
      </c>
      <c r="K22" s="22" t="str">
        <f t="shared" si="1"/>
        <v/>
      </c>
    </row>
    <row r="23" spans="1:11" ht="75.75" customHeight="1">
      <c r="A23" s="13"/>
      <c r="B23" s="17" t="str">
        <f>IF(C23="","",IFERROR(INDEX($B$1:B22,MATCH(C23,$C$1:C22,0)),I23))</f>
        <v/>
      </c>
      <c r="C23" s="13"/>
      <c r="D23" s="13"/>
      <c r="E23" s="13"/>
      <c r="F23" s="13"/>
      <c r="G23" s="13"/>
      <c r="H23" s="23" t="str">
        <f>IF(A23="","",IFERROR(INDEX('Region Design'!$B$2:$B$100,MATCH(A23,'Region Design'!$A$2:$A$100,0)),"找不到地區"))</f>
        <v/>
      </c>
      <c r="I23" s="23"/>
      <c r="J23" s="21" t="str">
        <f t="shared" si="0"/>
        <v/>
      </c>
      <c r="K23" s="22" t="str">
        <f t="shared" si="1"/>
        <v/>
      </c>
    </row>
    <row r="24" spans="1:11" ht="75.75" customHeight="1">
      <c r="A24" s="13"/>
      <c r="B24" s="17" t="str">
        <f>IF(C24="","",IFERROR(INDEX($B$1:B23,MATCH(C24,$C$1:C23,0)),I24))</f>
        <v/>
      </c>
      <c r="C24" s="13"/>
      <c r="D24" s="13"/>
      <c r="E24" s="13"/>
      <c r="F24" s="13"/>
      <c r="G24" s="13"/>
      <c r="H24" s="23" t="str">
        <f>IF(A24="","",IFERROR(INDEX('Region Design'!$B$2:$B$100,MATCH(A24,'Region Design'!$A$2:$A$100,0)),"找不到地區"))</f>
        <v/>
      </c>
      <c r="I24" s="23"/>
      <c r="J24" s="21" t="str">
        <f t="shared" si="0"/>
        <v/>
      </c>
      <c r="K24" s="22" t="str">
        <f t="shared" si="1"/>
        <v/>
      </c>
    </row>
    <row r="25" spans="1:11" ht="75.75" customHeight="1">
      <c r="A25" s="13"/>
      <c r="B25" s="17" t="str">
        <f>IF(C25="","",IFERROR(INDEX($B$1:B24,MATCH(C25,$C$1:C24,0)),I25))</f>
        <v/>
      </c>
      <c r="C25" s="13"/>
      <c r="D25" s="13"/>
      <c r="E25" s="13"/>
      <c r="F25" s="13"/>
      <c r="G25" s="13"/>
      <c r="H25" s="23" t="str">
        <f>IF(A25="","",IFERROR(INDEX('Region Design'!$B$2:$B$100,MATCH(A25,'Region Design'!$A$2:$A$100,0)),"找不到地區"))</f>
        <v/>
      </c>
      <c r="I25" s="23"/>
      <c r="J25" s="21" t="str">
        <f t="shared" si="0"/>
        <v/>
      </c>
      <c r="K25" s="22" t="str">
        <f t="shared" si="1"/>
        <v/>
      </c>
    </row>
    <row r="26" spans="1:11" ht="75.75" customHeight="1">
      <c r="A26" s="13"/>
      <c r="B26" s="17" t="str">
        <f>IF(C26="","",IFERROR(INDEX($B$1:B25,MATCH(C26,$C$1:C25,0)),I26))</f>
        <v/>
      </c>
      <c r="C26" s="13"/>
      <c r="D26" s="13"/>
      <c r="E26" s="13"/>
      <c r="F26" s="13"/>
      <c r="G26" s="13"/>
      <c r="H26" s="23" t="str">
        <f>IF(A26="","",IFERROR(INDEX('Region Design'!$B$2:$B$100,MATCH(A26,'Region Design'!$A$2:$A$100,0)),"找不到地區"))</f>
        <v/>
      </c>
      <c r="I26" s="23"/>
      <c r="J26" s="21" t="str">
        <f t="shared" si="0"/>
        <v/>
      </c>
      <c r="K26" s="22" t="str">
        <f t="shared" si="1"/>
        <v/>
      </c>
    </row>
    <row r="27" spans="1:11" ht="75.75" customHeight="1">
      <c r="A27" s="13"/>
      <c r="B27" s="17" t="str">
        <f>IF(C27="","",IFERROR(INDEX($B$1:B26,MATCH(C27,$C$1:C26,0)),I27))</f>
        <v/>
      </c>
      <c r="C27" s="13"/>
      <c r="D27" s="13"/>
      <c r="E27" s="13"/>
      <c r="F27" s="13"/>
      <c r="G27" s="13"/>
      <c r="H27" s="23" t="str">
        <f>IF(A27="","",IFERROR(INDEX('Region Design'!$B$2:$B$100,MATCH(A27,'Region Design'!$A$2:$A$100,0)),"找不到地區"))</f>
        <v/>
      </c>
      <c r="I27" s="23"/>
      <c r="J27" s="21" t="str">
        <f t="shared" si="0"/>
        <v/>
      </c>
      <c r="K27" s="22" t="str">
        <f t="shared" si="1"/>
        <v/>
      </c>
    </row>
    <row r="28" spans="1:11" ht="75.75" customHeight="1">
      <c r="A28" s="13"/>
      <c r="B28" s="17" t="str">
        <f>IF(C28="","",IFERROR(INDEX($B$1:B27,MATCH(C28,$C$1:C27,0)),I28))</f>
        <v/>
      </c>
      <c r="C28" s="13"/>
      <c r="D28" s="13"/>
      <c r="E28" s="13"/>
      <c r="F28" s="13"/>
      <c r="G28" s="13"/>
      <c r="H28" s="23" t="str">
        <f>IF(A28="","",IFERROR(INDEX('Region Design'!$B$2:$B$100,MATCH(A28,'Region Design'!$A$2:$A$100,0)),"找不到地區"))</f>
        <v/>
      </c>
      <c r="I28" s="23"/>
      <c r="J28" s="21" t="str">
        <f t="shared" si="0"/>
        <v/>
      </c>
      <c r="K28" s="22" t="str">
        <f t="shared" si="1"/>
        <v/>
      </c>
    </row>
    <row r="29" spans="1:11" ht="75.75" customHeight="1">
      <c r="A29" s="13"/>
      <c r="B29" s="17" t="str">
        <f>IF(C29="","",IFERROR(INDEX($B$1:B28,MATCH(C29,$C$1:C28,0)),I29))</f>
        <v/>
      </c>
      <c r="C29" s="13"/>
      <c r="D29" s="13"/>
      <c r="E29" s="13"/>
      <c r="F29" s="13"/>
      <c r="G29" s="13"/>
      <c r="H29" s="23" t="str">
        <f>IF(A29="","",IFERROR(INDEX('Region Design'!$B$2:$B$100,MATCH(A29,'Region Design'!$A$2:$A$100,0)),"找不到地區"))</f>
        <v/>
      </c>
      <c r="I29" s="23"/>
      <c r="J29" s="21" t="str">
        <f t="shared" si="0"/>
        <v/>
      </c>
      <c r="K29" s="22" t="str">
        <f t="shared" si="1"/>
        <v/>
      </c>
    </row>
    <row r="30" spans="1:11" ht="75.75" customHeight="1">
      <c r="A30" s="13"/>
      <c r="B30" s="17" t="str">
        <f>IF(C30="","",IFERROR(INDEX($B$1:B29,MATCH(C30,$C$1:C29,0)),I30))</f>
        <v/>
      </c>
      <c r="C30" s="13"/>
      <c r="D30" s="13"/>
      <c r="E30" s="13"/>
      <c r="F30" s="13"/>
      <c r="G30" s="13"/>
      <c r="H30" s="23" t="str">
        <f>IF(A30="","",IFERROR(INDEX('Region Design'!$B$2:$B$100,MATCH(A30,'Region Design'!$A$2:$A$100,0)),"找不到地區"))</f>
        <v/>
      </c>
      <c r="I30" s="23"/>
      <c r="J30" s="21" t="str">
        <f t="shared" si="0"/>
        <v/>
      </c>
      <c r="K30" s="22" t="str">
        <f t="shared" si="1"/>
        <v/>
      </c>
    </row>
    <row r="31" spans="1:11" ht="75.75" customHeight="1">
      <c r="A31" s="13"/>
      <c r="B31" s="17" t="str">
        <f>IF(C31="","",IFERROR(INDEX($B$1:B30,MATCH(C31,$C$1:C30,0)),I31))</f>
        <v/>
      </c>
      <c r="C31" s="13"/>
      <c r="D31" s="13"/>
      <c r="E31" s="13"/>
      <c r="F31" s="13"/>
      <c r="G31" s="13"/>
      <c r="H31" s="23" t="str">
        <f>IF(A31="","",IFERROR(INDEX('Region Design'!$B$2:$B$100,MATCH(A31,'Region Design'!$A$2:$A$100,0)),"找不到地區"))</f>
        <v/>
      </c>
      <c r="I31" s="23"/>
      <c r="J31" s="21" t="str">
        <f t="shared" si="0"/>
        <v/>
      </c>
      <c r="K31" s="22" t="str">
        <f t="shared" si="1"/>
        <v/>
      </c>
    </row>
    <row r="32" spans="1:11" ht="75.75" customHeight="1">
      <c r="A32" s="13"/>
      <c r="B32" s="17" t="str">
        <f>IF(C32="","",IFERROR(INDEX($B$1:B31,MATCH(C32,$C$1:C31,0)),I32))</f>
        <v/>
      </c>
      <c r="C32" s="13"/>
      <c r="D32" s="13"/>
      <c r="E32" s="13"/>
      <c r="F32" s="13"/>
      <c r="G32" s="13"/>
      <c r="H32" s="23" t="str">
        <f>IF(A32="","",IFERROR(INDEX('Region Design'!$B$2:$B$100,MATCH(A32,'Region Design'!$A$2:$A$100,0)),"找不到地區"))</f>
        <v/>
      </c>
      <c r="I32" s="23"/>
      <c r="J32" s="21" t="str">
        <f t="shared" si="0"/>
        <v/>
      </c>
      <c r="K32" s="22" t="str">
        <f t="shared" si="1"/>
        <v/>
      </c>
    </row>
    <row r="33" spans="1:11" ht="75.75" customHeight="1">
      <c r="A33" s="13"/>
      <c r="B33" s="17" t="str">
        <f>IF(C33="","",IFERROR(INDEX($B$1:B32,MATCH(C33,$C$1:C32,0)),I33))</f>
        <v/>
      </c>
      <c r="C33" s="13"/>
      <c r="D33" s="13"/>
      <c r="E33" s="13"/>
      <c r="F33" s="13"/>
      <c r="G33" s="13"/>
      <c r="H33" s="23" t="str">
        <f>IF(A33="","",IFERROR(INDEX('Region Design'!$B$2:$B$100,MATCH(A33,'Region Design'!$A$2:$A$100,0)),"找不到地區"))</f>
        <v/>
      </c>
      <c r="I33" s="23"/>
      <c r="J33" s="21" t="str">
        <f t="shared" si="0"/>
        <v/>
      </c>
      <c r="K33" s="22" t="str">
        <f t="shared" si="1"/>
        <v/>
      </c>
    </row>
    <row r="34" spans="1:11" ht="75.75" customHeight="1">
      <c r="A34" s="13"/>
      <c r="B34" s="17" t="str">
        <f>IF(C34="","",IFERROR(INDEX($B$1:B33,MATCH(C34,$C$1:C33,0)),I34))</f>
        <v/>
      </c>
      <c r="C34" s="13"/>
      <c r="D34" s="13"/>
      <c r="E34" s="13"/>
      <c r="F34" s="13"/>
      <c r="G34" s="13"/>
      <c r="H34" s="23" t="str">
        <f>IF(A34="","",IFERROR(INDEX('Region Design'!$B$2:$B$100,MATCH(A34,'Region Design'!$A$2:$A$100,0)),"找不到地區"))</f>
        <v/>
      </c>
      <c r="I34" s="23"/>
      <c r="J34" s="21" t="str">
        <f t="shared" ref="J34:J65" si="2">IF(A34="","",IFERROR(F34*G34/E34,0))</f>
        <v/>
      </c>
      <c r="K34" s="22" t="str">
        <f t="shared" ref="K34:K65" si="3">IF(A34="","",IFERROR(J34/SUMIF($A$2:$A$100,A34,$J$2:$J$100),0))</f>
        <v/>
      </c>
    </row>
    <row r="35" spans="1:11" ht="75.75" customHeight="1">
      <c r="A35" s="13"/>
      <c r="B35" s="17" t="str">
        <f>IF(C35="","",IFERROR(INDEX($B$1:B34,MATCH(C35,$C$1:C34,0)),I35))</f>
        <v/>
      </c>
      <c r="C35" s="13"/>
      <c r="D35" s="13"/>
      <c r="E35" s="13"/>
      <c r="F35" s="13"/>
      <c r="G35" s="13"/>
      <c r="H35" s="23" t="str">
        <f>IF(A35="","",IFERROR(INDEX('Region Design'!$B$2:$B$100,MATCH(A35,'Region Design'!$A$2:$A$100,0)),"找不到地區"))</f>
        <v/>
      </c>
      <c r="I35" s="23"/>
      <c r="J35" s="21" t="str">
        <f t="shared" si="2"/>
        <v/>
      </c>
      <c r="K35" s="22" t="str">
        <f t="shared" si="3"/>
        <v/>
      </c>
    </row>
    <row r="36" spans="1:11" ht="75.75" customHeight="1">
      <c r="A36" s="13"/>
      <c r="B36" s="17" t="str">
        <f>IF(C36="","",IFERROR(INDEX($B$1:B35,MATCH(C36,$C$1:C35,0)),I36))</f>
        <v/>
      </c>
      <c r="C36" s="13"/>
      <c r="D36" s="13"/>
      <c r="E36" s="13"/>
      <c r="F36" s="13"/>
      <c r="G36" s="13"/>
      <c r="H36" s="23" t="str">
        <f>IF(A36="","",IFERROR(INDEX('Region Design'!$B$2:$B$100,MATCH(A36,'Region Design'!$A$2:$A$100,0)),"找不到地區"))</f>
        <v/>
      </c>
      <c r="I36" s="23"/>
      <c r="J36" s="21" t="str">
        <f t="shared" si="2"/>
        <v/>
      </c>
      <c r="K36" s="22" t="str">
        <f t="shared" si="3"/>
        <v/>
      </c>
    </row>
    <row r="37" spans="1:11">
      <c r="B37" s="19" t="str">
        <f>IF(C37="","",IFERROR(INDEX($B$1:B36,MATCH(C37,$C$1:C36,0)),I37))</f>
        <v/>
      </c>
      <c r="H37" s="23" t="str">
        <f>IF(A37="","",IFERROR(INDEX('Region Design'!$B$2:$B$100,MATCH(A37,'Region Design'!$A$2:$A$100,0)),"找不到地區"))</f>
        <v/>
      </c>
      <c r="I37" s="23"/>
      <c r="J37" s="21" t="str">
        <f t="shared" si="2"/>
        <v/>
      </c>
      <c r="K37" s="22" t="str">
        <f t="shared" si="3"/>
        <v/>
      </c>
    </row>
    <row r="38" spans="1:11">
      <c r="B38" s="19" t="str">
        <f>IF(C38="","",IFERROR(INDEX($B$1:B37,MATCH(C38,$C$1:C37,0)),I38))</f>
        <v/>
      </c>
      <c r="H38" s="23" t="str">
        <f>IF(A38="","",IFERROR(INDEX('Region Design'!$B$2:$B$100,MATCH(A38,'Region Design'!$A$2:$A$100,0)),"找不到地區"))</f>
        <v/>
      </c>
      <c r="I38" s="23"/>
      <c r="J38" s="21" t="str">
        <f t="shared" si="2"/>
        <v/>
      </c>
      <c r="K38" s="22" t="str">
        <f t="shared" si="3"/>
        <v/>
      </c>
    </row>
    <row r="39" spans="1:11">
      <c r="B39" s="19" t="str">
        <f>IF(C39="","",IFERROR(INDEX($B$1:B38,MATCH(C39,$C$1:C38,0)),I39))</f>
        <v/>
      </c>
      <c r="H39" s="23" t="str">
        <f>IF(A39="","",IFERROR(INDEX('Region Design'!$B$2:$B$100,MATCH(A39,'Region Design'!$A$2:$A$100,0)),"找不到地區"))</f>
        <v/>
      </c>
      <c r="I39" s="23"/>
      <c r="J39" s="21" t="str">
        <f t="shared" si="2"/>
        <v/>
      </c>
      <c r="K39" s="22" t="str">
        <f t="shared" si="3"/>
        <v/>
      </c>
    </row>
    <row r="40" spans="1:11">
      <c r="B40" s="19" t="str">
        <f>IF(C40="","",IFERROR(INDEX($B$1:B39,MATCH(C40,$C$1:C39,0)),I40))</f>
        <v/>
      </c>
      <c r="H40" s="23" t="str">
        <f>IF(A40="","",IFERROR(INDEX('Region Design'!$B$2:$B$100,MATCH(A40,'Region Design'!$A$2:$A$100,0)),"找不到地區"))</f>
        <v/>
      </c>
      <c r="I40" s="23"/>
      <c r="J40" s="21" t="str">
        <f t="shared" si="2"/>
        <v/>
      </c>
      <c r="K40" s="22" t="str">
        <f t="shared" si="3"/>
        <v/>
      </c>
    </row>
    <row r="41" spans="1:11">
      <c r="B41" s="19" t="str">
        <f>IF(C41="","",IFERROR(INDEX($B$1:B40,MATCH(C41,$C$1:C40,0)),I41))</f>
        <v/>
      </c>
      <c r="H41" s="23" t="str">
        <f>IF(A41="","",IFERROR(INDEX('Region Design'!$B$2:$B$100,MATCH(A41,'Region Design'!$A$2:$A$100,0)),"找不到地區"))</f>
        <v/>
      </c>
      <c r="I41" s="23"/>
      <c r="J41" s="21" t="str">
        <f t="shared" si="2"/>
        <v/>
      </c>
      <c r="K41" s="22" t="str">
        <f t="shared" si="3"/>
        <v/>
      </c>
    </row>
    <row r="42" spans="1:11">
      <c r="B42" s="19" t="str">
        <f>IF(C42="","",IFERROR(INDEX($B$1:B41,MATCH(C42,$C$1:C41,0)),I42))</f>
        <v/>
      </c>
      <c r="H42" s="23" t="str">
        <f>IF(A42="","",IFERROR(INDEX('Region Design'!$B$2:$B$100,MATCH(A42,'Region Design'!$A$2:$A$100,0)),"找不到地區"))</f>
        <v/>
      </c>
      <c r="I42" s="23"/>
      <c r="J42" s="21" t="str">
        <f t="shared" si="2"/>
        <v/>
      </c>
      <c r="K42" s="22" t="str">
        <f t="shared" si="3"/>
        <v/>
      </c>
    </row>
    <row r="43" spans="1:11">
      <c r="B43" s="19" t="str">
        <f>IF(C43="","",IFERROR(INDEX($B$1:B42,MATCH(C43,$C$1:C42,0)),I43))</f>
        <v/>
      </c>
      <c r="H43" s="23" t="str">
        <f>IF(A43="","",IFERROR(INDEX('Region Design'!$B$2:$B$100,MATCH(A43,'Region Design'!$A$2:$A$100,0)),"找不到地區"))</f>
        <v/>
      </c>
      <c r="I43" s="23"/>
      <c r="J43" s="21" t="str">
        <f t="shared" si="2"/>
        <v/>
      </c>
      <c r="K43" s="22" t="str">
        <f t="shared" si="3"/>
        <v/>
      </c>
    </row>
    <row r="44" spans="1:11">
      <c r="B44" s="19" t="str">
        <f>IF(C44="","",IFERROR(INDEX($B$1:B43,MATCH(C44,$C$1:C43,0)),I44))</f>
        <v/>
      </c>
      <c r="H44" s="23" t="str">
        <f>IF(A44="","",IFERROR(INDEX('Region Design'!$B$2:$B$100,MATCH(A44,'Region Design'!$A$2:$A$100,0)),"找不到地區"))</f>
        <v/>
      </c>
      <c r="I44" s="23"/>
      <c r="J44" s="21" t="str">
        <f t="shared" si="2"/>
        <v/>
      </c>
      <c r="K44" s="22" t="str">
        <f t="shared" si="3"/>
        <v/>
      </c>
    </row>
    <row r="45" spans="1:11">
      <c r="B45" s="19" t="str">
        <f>IF(C45="","",IFERROR(INDEX($B$1:B44,MATCH(C45,$C$1:C44,0)),I45))</f>
        <v/>
      </c>
      <c r="H45" s="23" t="str">
        <f>IF(A45="","",IFERROR(INDEX('Region Design'!$B$2:$B$100,MATCH(A45,'Region Design'!$A$2:$A$100,0)),"找不到地區"))</f>
        <v/>
      </c>
      <c r="I45" s="23"/>
      <c r="J45" s="21" t="str">
        <f t="shared" si="2"/>
        <v/>
      </c>
      <c r="K45" s="22" t="str">
        <f t="shared" si="3"/>
        <v/>
      </c>
    </row>
    <row r="46" spans="1:11">
      <c r="B46" s="19" t="str">
        <f>IF(C46="","",IFERROR(INDEX($B$1:B45,MATCH(C46,$C$1:C45,0)),I46))</f>
        <v/>
      </c>
      <c r="H46" s="23" t="str">
        <f>IF(A46="","",IFERROR(INDEX('Region Design'!$B$2:$B$100,MATCH(A46,'Region Design'!$A$2:$A$100,0)),"找不到地區"))</f>
        <v/>
      </c>
      <c r="I46" s="23"/>
      <c r="J46" s="21" t="str">
        <f t="shared" si="2"/>
        <v/>
      </c>
      <c r="K46" s="22" t="str">
        <f t="shared" si="3"/>
        <v/>
      </c>
    </row>
    <row r="47" spans="1:11">
      <c r="B47" s="19" t="str">
        <f>IF(C47="","",IFERROR(INDEX($B$1:B46,MATCH(C47,$C$1:C46,0)),I47))</f>
        <v/>
      </c>
      <c r="H47" s="23" t="str">
        <f>IF(A47="","",IFERROR(INDEX('Region Design'!$B$2:$B$100,MATCH(A47,'Region Design'!$A$2:$A$100,0)),"找不到地區"))</f>
        <v/>
      </c>
      <c r="I47" s="23"/>
      <c r="J47" s="21" t="str">
        <f t="shared" si="2"/>
        <v/>
      </c>
      <c r="K47" s="22" t="str">
        <f t="shared" si="3"/>
        <v/>
      </c>
    </row>
    <row r="48" spans="1:11">
      <c r="B48" s="19" t="str">
        <f>IF(C48="","",IFERROR(INDEX($B$1:B47,MATCH(C48,$C$1:C47,0)),I48))</f>
        <v/>
      </c>
      <c r="H48" s="23" t="str">
        <f>IF(A48="","",IFERROR(INDEX('Region Design'!$B$2:$B$100,MATCH(A48,'Region Design'!$A$2:$A$100,0)),"找不到地區"))</f>
        <v/>
      </c>
      <c r="I48" s="23"/>
      <c r="J48" s="21" t="str">
        <f t="shared" si="2"/>
        <v/>
      </c>
      <c r="K48" s="22" t="str">
        <f t="shared" si="3"/>
        <v/>
      </c>
    </row>
    <row r="49" spans="2:11">
      <c r="B49" s="19" t="str">
        <f>IF(C49="","",IFERROR(INDEX($B$1:B48,MATCH(C49,$C$1:C48,0)),I49))</f>
        <v/>
      </c>
      <c r="H49" s="23" t="str">
        <f>IF(A49="","",IFERROR(INDEX('Region Design'!$B$2:$B$100,MATCH(A49,'Region Design'!$A$2:$A$100,0)),"找不到地區"))</f>
        <v/>
      </c>
      <c r="I49" s="23"/>
      <c r="J49" s="21" t="str">
        <f t="shared" si="2"/>
        <v/>
      </c>
      <c r="K49" s="22" t="str">
        <f t="shared" si="3"/>
        <v/>
      </c>
    </row>
    <row r="50" spans="2:11">
      <c r="B50" s="19" t="str">
        <f>IF(C50="","",IFERROR(INDEX($B$1:B49,MATCH(C50,$C$1:C49,0)),I50))</f>
        <v/>
      </c>
      <c r="H50" s="23" t="str">
        <f>IF(A50="","",IFERROR(INDEX('Region Design'!$B$2:$B$100,MATCH(A50,'Region Design'!$A$2:$A$100,0)),"找不到地區"))</f>
        <v/>
      </c>
      <c r="I50" s="23"/>
      <c r="J50" s="21" t="str">
        <f t="shared" si="2"/>
        <v/>
      </c>
      <c r="K50" s="22" t="str">
        <f t="shared" si="3"/>
        <v/>
      </c>
    </row>
    <row r="51" spans="2:11">
      <c r="B51" s="19" t="str">
        <f>IF(C51="","",IFERROR(INDEX($B$1:B50,MATCH(C51,$C$1:C50,0)),I51))</f>
        <v/>
      </c>
      <c r="H51" s="23" t="str">
        <f>IF(A51="","",IFERROR(INDEX('Region Design'!$B$2:$B$100,MATCH(A51,'Region Design'!$A$2:$A$100,0)),"找不到地區"))</f>
        <v/>
      </c>
      <c r="I51" s="23"/>
      <c r="J51" s="21" t="str">
        <f t="shared" si="2"/>
        <v/>
      </c>
      <c r="K51" s="22" t="str">
        <f t="shared" si="3"/>
        <v/>
      </c>
    </row>
    <row r="52" spans="2:11">
      <c r="B52" s="19" t="str">
        <f>IF(C52="","",IFERROR(INDEX($B$1:B51,MATCH(C52,$C$1:C51,0)),I52))</f>
        <v/>
      </c>
      <c r="H52" s="23" t="str">
        <f>IF(A52="","",IFERROR(INDEX('Region Design'!$B$2:$B$100,MATCH(A52,'Region Design'!$A$2:$A$100,0)),"找不到地區"))</f>
        <v/>
      </c>
      <c r="I52" s="23"/>
      <c r="J52" s="21" t="str">
        <f t="shared" si="2"/>
        <v/>
      </c>
      <c r="K52" s="22" t="str">
        <f t="shared" si="3"/>
        <v/>
      </c>
    </row>
    <row r="53" spans="2:11">
      <c r="B53" s="19" t="str">
        <f>IF(C53="","",IFERROR(INDEX($B$1:B52,MATCH(C53,$C$1:C52,0)),I53))</f>
        <v/>
      </c>
      <c r="H53" s="23" t="str">
        <f>IF(A53="","",IFERROR(INDEX('Region Design'!$B$2:$B$100,MATCH(A53,'Region Design'!$A$2:$A$100,0)),"找不到地區"))</f>
        <v/>
      </c>
      <c r="I53" s="23"/>
      <c r="J53" s="21" t="str">
        <f t="shared" si="2"/>
        <v/>
      </c>
      <c r="K53" s="22" t="str">
        <f t="shared" si="3"/>
        <v/>
      </c>
    </row>
    <row r="54" spans="2:11">
      <c r="B54" s="19" t="str">
        <f>IF(C54="","",IFERROR(INDEX($B$1:B53,MATCH(C54,$C$1:C53,0)),I54))</f>
        <v/>
      </c>
      <c r="H54" s="23" t="str">
        <f>IF(A54="","",IFERROR(INDEX('Region Design'!$B$2:$B$100,MATCH(A54,'Region Design'!$A$2:$A$100,0)),"找不到地區"))</f>
        <v/>
      </c>
      <c r="I54" s="23"/>
      <c r="J54" s="21" t="str">
        <f t="shared" si="2"/>
        <v/>
      </c>
      <c r="K54" s="22" t="str">
        <f t="shared" si="3"/>
        <v/>
      </c>
    </row>
    <row r="55" spans="2:11">
      <c r="B55" s="19" t="str">
        <f>IF(C55="","",IFERROR(INDEX($B$1:B54,MATCH(C55,$C$1:C54,0)),I55))</f>
        <v/>
      </c>
      <c r="H55" s="23" t="str">
        <f>IF(A55="","",IFERROR(INDEX('Region Design'!$B$2:$B$100,MATCH(A55,'Region Design'!$A$2:$A$100,0)),"找不到地區"))</f>
        <v/>
      </c>
      <c r="I55" s="23"/>
      <c r="J55" s="21" t="str">
        <f t="shared" si="2"/>
        <v/>
      </c>
      <c r="K55" s="22" t="str">
        <f t="shared" si="3"/>
        <v/>
      </c>
    </row>
    <row r="56" spans="2:11">
      <c r="B56" s="19" t="str">
        <f>IF(C56="","",IFERROR(INDEX($B$1:B55,MATCH(C56,$C$1:C55,0)),I56))</f>
        <v/>
      </c>
      <c r="H56" s="23" t="str">
        <f>IF(A56="","",IFERROR(INDEX('Region Design'!$B$2:$B$100,MATCH(A56,'Region Design'!$A$2:$A$100,0)),"找不到地區"))</f>
        <v/>
      </c>
      <c r="I56" s="23"/>
      <c r="J56" s="21" t="str">
        <f t="shared" si="2"/>
        <v/>
      </c>
      <c r="K56" s="22" t="str">
        <f t="shared" si="3"/>
        <v/>
      </c>
    </row>
    <row r="57" spans="2:11">
      <c r="B57" s="19" t="str">
        <f>IF(C57="","",IFERROR(INDEX($B$1:B56,MATCH(C57,$C$1:C56,0)),I57))</f>
        <v/>
      </c>
      <c r="H57" s="23" t="str">
        <f>IF(A57="","",IFERROR(INDEX('Region Design'!$B$2:$B$100,MATCH(A57,'Region Design'!$A$2:$A$100,0)),"找不到地區"))</f>
        <v/>
      </c>
      <c r="I57" s="23"/>
      <c r="J57" s="21" t="str">
        <f t="shared" si="2"/>
        <v/>
      </c>
      <c r="K57" s="22" t="str">
        <f t="shared" si="3"/>
        <v/>
      </c>
    </row>
    <row r="58" spans="2:11">
      <c r="B58" s="19" t="str">
        <f>IF(C58="","",IFERROR(INDEX($B$1:B57,MATCH(C58,$C$1:C57,0)),I58))</f>
        <v/>
      </c>
      <c r="H58" s="23" t="str">
        <f>IF(A58="","",IFERROR(INDEX('Region Design'!$B$2:$B$100,MATCH(A58,'Region Design'!$A$2:$A$100,0)),"找不到地區"))</f>
        <v/>
      </c>
      <c r="I58" s="23"/>
      <c r="J58" s="21" t="str">
        <f t="shared" si="2"/>
        <v/>
      </c>
      <c r="K58" s="22" t="str">
        <f t="shared" si="3"/>
        <v/>
      </c>
    </row>
    <row r="59" spans="2:11">
      <c r="B59" s="19" t="str">
        <f>IF(C59="","",IFERROR(INDEX($B$1:B58,MATCH(C59,$C$1:C58,0)),I59))</f>
        <v/>
      </c>
      <c r="H59" s="23" t="str">
        <f>IF(A59="","",IFERROR(INDEX('Region Design'!$B$2:$B$100,MATCH(A59,'Region Design'!$A$2:$A$100,0)),"找不到地區"))</f>
        <v/>
      </c>
      <c r="I59" s="23"/>
      <c r="J59" s="21" t="str">
        <f t="shared" si="2"/>
        <v/>
      </c>
      <c r="K59" s="22" t="str">
        <f t="shared" si="3"/>
        <v/>
      </c>
    </row>
    <row r="60" spans="2:11">
      <c r="B60" s="19" t="str">
        <f>IF(C60="","",IFERROR(INDEX($B$1:B59,MATCH(C60,$C$1:C59,0)),I60))</f>
        <v/>
      </c>
      <c r="H60" s="23" t="str">
        <f>IF(A60="","",IFERROR(INDEX('Region Design'!$B$2:$B$100,MATCH(A60,'Region Design'!$A$2:$A$100,0)),"找不到地區"))</f>
        <v/>
      </c>
      <c r="I60" s="23"/>
      <c r="J60" s="21" t="str">
        <f t="shared" si="2"/>
        <v/>
      </c>
      <c r="K60" s="22" t="str">
        <f t="shared" si="3"/>
        <v/>
      </c>
    </row>
    <row r="61" spans="2:11">
      <c r="B61" s="19" t="str">
        <f>IF(C61="","",IFERROR(INDEX($B$1:B60,MATCH(C61,$C$1:C60,0)),I61))</f>
        <v/>
      </c>
      <c r="H61" s="23" t="str">
        <f>IF(A61="","",IFERROR(INDEX('Region Design'!$B$2:$B$100,MATCH(A61,'Region Design'!$A$2:$A$100,0)),"找不到地區"))</f>
        <v/>
      </c>
      <c r="I61" s="23"/>
      <c r="J61" s="21" t="str">
        <f t="shared" si="2"/>
        <v/>
      </c>
      <c r="K61" s="22" t="str">
        <f t="shared" si="3"/>
        <v/>
      </c>
    </row>
    <row r="62" spans="2:11">
      <c r="B62" s="19" t="str">
        <f>IF(C62="","",IFERROR(INDEX($B$1:B61,MATCH(C62,$C$1:C61,0)),I62))</f>
        <v/>
      </c>
      <c r="H62" s="23" t="str">
        <f>IF(A62="","",IFERROR(INDEX('Region Design'!$B$2:$B$100,MATCH(A62,'Region Design'!$A$2:$A$100,0)),"找不到地區"))</f>
        <v/>
      </c>
      <c r="I62" s="23"/>
      <c r="J62" s="21" t="str">
        <f t="shared" si="2"/>
        <v/>
      </c>
      <c r="K62" s="22" t="str">
        <f t="shared" si="3"/>
        <v/>
      </c>
    </row>
    <row r="63" spans="2:11">
      <c r="B63" s="19" t="str">
        <f>IF(C63="","",IFERROR(INDEX($B$1:B62,MATCH(C63,$C$1:C62,0)),I63))</f>
        <v/>
      </c>
      <c r="H63" s="23" t="str">
        <f>IF(A63="","",IFERROR(INDEX('Region Design'!$B$2:$B$100,MATCH(A63,'Region Design'!$A$2:$A$100,0)),"找不到地區"))</f>
        <v/>
      </c>
      <c r="I63" s="23"/>
      <c r="J63" s="21" t="str">
        <f t="shared" si="2"/>
        <v/>
      </c>
      <c r="K63" s="22" t="str">
        <f t="shared" si="3"/>
        <v/>
      </c>
    </row>
    <row r="64" spans="2:11">
      <c r="B64" s="19" t="str">
        <f>IF(C64="","",IFERROR(INDEX($B$1:B63,MATCH(C64,$C$1:C63,0)),I64))</f>
        <v/>
      </c>
      <c r="H64" s="23" t="str">
        <f>IF(A64="","",IFERROR(INDEX('Region Design'!$B$2:$B$100,MATCH(A64,'Region Design'!$A$2:$A$100,0)),"找不到地區"))</f>
        <v/>
      </c>
      <c r="I64" s="23"/>
      <c r="J64" s="21" t="str">
        <f t="shared" si="2"/>
        <v/>
      </c>
      <c r="K64" s="22" t="str">
        <f t="shared" si="3"/>
        <v/>
      </c>
    </row>
    <row r="65" spans="2:11">
      <c r="B65" s="19" t="str">
        <f>IF(C65="","",IFERROR(INDEX($B$1:B64,MATCH(C65,$C$1:C64,0)),I65))</f>
        <v/>
      </c>
      <c r="H65" s="23" t="str">
        <f>IF(A65="","",IFERROR(INDEX('Region Design'!$B$2:$B$100,MATCH(A65,'Region Design'!$A$2:$A$100,0)),"找不到地區"))</f>
        <v/>
      </c>
      <c r="I65" s="23"/>
      <c r="J65" s="21" t="str">
        <f t="shared" si="2"/>
        <v/>
      </c>
      <c r="K65" s="22" t="str">
        <f t="shared" si="3"/>
        <v/>
      </c>
    </row>
    <row r="66" spans="2:11">
      <c r="B66" s="19" t="str">
        <f>IF(C66="","",IFERROR(INDEX($B$1:B65,MATCH(C66,$C$1:C65,0)),I66))</f>
        <v/>
      </c>
      <c r="H66" s="23" t="str">
        <f>IF(A66="","",IFERROR(INDEX('Region Design'!$B$2:$B$100,MATCH(A66,'Region Design'!$A$2:$A$100,0)),"找不到地區"))</f>
        <v/>
      </c>
      <c r="I66" s="23"/>
      <c r="J66" s="21" t="str">
        <f t="shared" ref="J66:J100" si="4">IF(A66="","",IFERROR(F66*G66/E66,0))</f>
        <v/>
      </c>
      <c r="K66" s="22" t="str">
        <f t="shared" ref="K66:K97" si="5">IF(A66="","",IFERROR(J66/SUMIF($A$2:$A$100,A66,$J$2:$J$100),0))</f>
        <v/>
      </c>
    </row>
    <row r="67" spans="2:11">
      <c r="B67" s="19" t="str">
        <f>IF(C67="","",IFERROR(INDEX($B$1:B66,MATCH(C67,$C$1:C66,0)),I67))</f>
        <v/>
      </c>
      <c r="H67" s="23" t="str">
        <f>IF(A67="","",IFERROR(INDEX('Region Design'!$B$2:$B$100,MATCH(A67,'Region Design'!$A$2:$A$100,0)),"找不到地區"))</f>
        <v/>
      </c>
      <c r="I67" s="23"/>
      <c r="J67" s="21" t="str">
        <f t="shared" si="4"/>
        <v/>
      </c>
      <c r="K67" s="22" t="str">
        <f t="shared" si="5"/>
        <v/>
      </c>
    </row>
    <row r="68" spans="2:11">
      <c r="B68" s="19" t="str">
        <f>IF(C68="","",IFERROR(INDEX($B$1:B67,MATCH(C68,$C$1:C67,0)),I68))</f>
        <v/>
      </c>
      <c r="H68" s="23" t="str">
        <f>IF(A68="","",IFERROR(INDEX('Region Design'!$B$2:$B$100,MATCH(A68,'Region Design'!$A$2:$A$100,0)),"找不到地區"))</f>
        <v/>
      </c>
      <c r="I68" s="23"/>
      <c r="J68" s="21" t="str">
        <f t="shared" si="4"/>
        <v/>
      </c>
      <c r="K68" s="22" t="str">
        <f t="shared" si="5"/>
        <v/>
      </c>
    </row>
    <row r="69" spans="2:11">
      <c r="B69" s="19" t="str">
        <f>IF(C69="","",IFERROR(INDEX($B$1:B68,MATCH(C69,$C$1:C68,0)),I69))</f>
        <v/>
      </c>
      <c r="H69" s="23" t="str">
        <f>IF(A69="","",IFERROR(INDEX('Region Design'!$B$2:$B$100,MATCH(A69,'Region Design'!$A$2:$A$100,0)),"找不到地區"))</f>
        <v/>
      </c>
      <c r="I69" s="23"/>
      <c r="J69" s="21" t="str">
        <f t="shared" si="4"/>
        <v/>
      </c>
      <c r="K69" s="22" t="str">
        <f t="shared" si="5"/>
        <v/>
      </c>
    </row>
    <row r="70" spans="2:11">
      <c r="B70" s="19" t="str">
        <f>IF(C70="","",IFERROR(INDEX($B$1:B69,MATCH(C70,$C$1:C69,0)),I70))</f>
        <v/>
      </c>
      <c r="H70" s="23" t="str">
        <f>IF(A70="","",IFERROR(INDEX('Region Design'!$B$2:$B$100,MATCH(A70,'Region Design'!$A$2:$A$100,0)),"找不到地區"))</f>
        <v/>
      </c>
      <c r="I70" s="23"/>
      <c r="J70" s="21" t="str">
        <f t="shared" si="4"/>
        <v/>
      </c>
      <c r="K70" s="22" t="str">
        <f t="shared" si="5"/>
        <v/>
      </c>
    </row>
    <row r="71" spans="2:11">
      <c r="B71" s="19" t="str">
        <f>IF(C71="","",IFERROR(INDEX($B$1:B70,MATCH(C71,$C$1:C70,0)),I71))</f>
        <v/>
      </c>
      <c r="H71" s="23" t="str">
        <f>IF(A71="","",IFERROR(INDEX('Region Design'!$B$2:$B$100,MATCH(A71,'Region Design'!$A$2:$A$100,0)),"找不到地區"))</f>
        <v/>
      </c>
      <c r="I71" s="23"/>
      <c r="J71" s="21" t="str">
        <f t="shared" si="4"/>
        <v/>
      </c>
      <c r="K71" s="22" t="str">
        <f t="shared" si="5"/>
        <v/>
      </c>
    </row>
    <row r="72" spans="2:11">
      <c r="B72" s="19" t="str">
        <f>IF(C72="","",IFERROR(INDEX($B$1:B71,MATCH(C72,$C$1:C71,0)),I72))</f>
        <v/>
      </c>
      <c r="H72" s="23" t="str">
        <f>IF(A72="","",IFERROR(INDEX('Region Design'!$B$2:$B$100,MATCH(A72,'Region Design'!$A$2:$A$100,0)),"找不到地區"))</f>
        <v/>
      </c>
      <c r="I72" s="23"/>
      <c r="J72" s="21" t="str">
        <f t="shared" si="4"/>
        <v/>
      </c>
      <c r="K72" s="22" t="str">
        <f t="shared" si="5"/>
        <v/>
      </c>
    </row>
    <row r="73" spans="2:11">
      <c r="B73" s="19" t="str">
        <f>IF(C73="","",IFERROR(INDEX($B$1:B72,MATCH(C73,$C$1:C72,0)),I73))</f>
        <v/>
      </c>
      <c r="H73" s="23" t="str">
        <f>IF(A73="","",IFERROR(INDEX('Region Design'!$B$2:$B$100,MATCH(A73,'Region Design'!$A$2:$A$100,0)),"找不到地區"))</f>
        <v/>
      </c>
      <c r="I73" s="23"/>
      <c r="J73" s="21" t="str">
        <f t="shared" si="4"/>
        <v/>
      </c>
      <c r="K73" s="22" t="str">
        <f t="shared" si="5"/>
        <v/>
      </c>
    </row>
    <row r="74" spans="2:11">
      <c r="B74" s="19" t="str">
        <f>IF(C74="","",IFERROR(INDEX($B$1:B73,MATCH(C74,$C$1:C73,0)),I74))</f>
        <v/>
      </c>
      <c r="H74" s="23" t="str">
        <f>IF(A74="","",IFERROR(INDEX('Region Design'!$B$2:$B$100,MATCH(A74,'Region Design'!$A$2:$A$100,0)),"找不到地區"))</f>
        <v/>
      </c>
      <c r="I74" s="23"/>
      <c r="J74" s="21" t="str">
        <f t="shared" si="4"/>
        <v/>
      </c>
      <c r="K74" s="22" t="str">
        <f t="shared" si="5"/>
        <v/>
      </c>
    </row>
    <row r="75" spans="2:11">
      <c r="B75" s="19" t="str">
        <f>IF(C75="","",IFERROR(INDEX($B$1:B74,MATCH(C75,$C$1:C74,0)),I75))</f>
        <v/>
      </c>
      <c r="H75" s="23" t="str">
        <f>IF(A75="","",IFERROR(INDEX('Region Design'!$B$2:$B$100,MATCH(A75,'Region Design'!$A$2:$A$100,0)),"找不到地區"))</f>
        <v/>
      </c>
      <c r="I75" s="23"/>
      <c r="J75" s="21" t="str">
        <f t="shared" si="4"/>
        <v/>
      </c>
      <c r="K75" s="22" t="str">
        <f t="shared" si="5"/>
        <v/>
      </c>
    </row>
    <row r="76" spans="2:11">
      <c r="B76" s="19" t="str">
        <f>IF(C76="","",IFERROR(INDEX($B$1:B75,MATCH(C76,$C$1:C75,0)),I76))</f>
        <v/>
      </c>
      <c r="H76" s="23" t="str">
        <f>IF(A76="","",IFERROR(INDEX('Region Design'!$B$2:$B$100,MATCH(A76,'Region Design'!$A$2:$A$100,0)),"找不到地區"))</f>
        <v/>
      </c>
      <c r="I76" s="23"/>
      <c r="J76" s="21" t="str">
        <f t="shared" si="4"/>
        <v/>
      </c>
      <c r="K76" s="22" t="str">
        <f t="shared" si="5"/>
        <v/>
      </c>
    </row>
    <row r="77" spans="2:11">
      <c r="B77" s="19" t="str">
        <f>IF(C77="","",IFERROR(INDEX($B$1:B76,MATCH(C77,$C$1:C76,0)),I77))</f>
        <v/>
      </c>
      <c r="H77" s="23" t="str">
        <f>IF(A77="","",IFERROR(INDEX('Region Design'!$B$2:$B$100,MATCH(A77,'Region Design'!$A$2:$A$100,0)),"找不到地區"))</f>
        <v/>
      </c>
      <c r="I77" s="23"/>
      <c r="J77" s="21" t="str">
        <f t="shared" si="4"/>
        <v/>
      </c>
      <c r="K77" s="22" t="str">
        <f t="shared" si="5"/>
        <v/>
      </c>
    </row>
    <row r="78" spans="2:11">
      <c r="B78" s="19" t="str">
        <f>IF(C78="","",IFERROR(INDEX($B$1:B77,MATCH(C78,$C$1:C77,0)),I78))</f>
        <v/>
      </c>
      <c r="H78" s="23" t="str">
        <f>IF(A78="","",IFERROR(INDEX('Region Design'!$B$2:$B$100,MATCH(A78,'Region Design'!$A$2:$A$100,0)),"找不到地區"))</f>
        <v/>
      </c>
      <c r="I78" s="23"/>
      <c r="J78" s="21" t="str">
        <f t="shared" si="4"/>
        <v/>
      </c>
      <c r="K78" s="22" t="str">
        <f t="shared" si="5"/>
        <v/>
      </c>
    </row>
    <row r="79" spans="2:11">
      <c r="B79" s="19" t="str">
        <f>IF(C79="","",IFERROR(INDEX($B$1:B78,MATCH(C79,$C$1:C78,0)),I79))</f>
        <v/>
      </c>
      <c r="H79" s="23" t="str">
        <f>IF(A79="","",IFERROR(INDEX('Region Design'!$B$2:$B$100,MATCH(A79,'Region Design'!$A$2:$A$100,0)),"找不到地區"))</f>
        <v/>
      </c>
      <c r="I79" s="23"/>
      <c r="J79" s="21" t="str">
        <f t="shared" si="4"/>
        <v/>
      </c>
      <c r="K79" s="22" t="str">
        <f t="shared" si="5"/>
        <v/>
      </c>
    </row>
    <row r="80" spans="2:11">
      <c r="B80" s="19" t="str">
        <f>IF(C80="","",IFERROR(INDEX($B$1:B79,MATCH(C80,$C$1:C79,0)),I80))</f>
        <v/>
      </c>
      <c r="H80" s="23" t="str">
        <f>IF(A80="","",IFERROR(INDEX('Region Design'!$B$2:$B$100,MATCH(A80,'Region Design'!$A$2:$A$100,0)),"找不到地區"))</f>
        <v/>
      </c>
      <c r="I80" s="23"/>
      <c r="J80" s="21" t="str">
        <f t="shared" si="4"/>
        <v/>
      </c>
      <c r="K80" s="22" t="str">
        <f t="shared" si="5"/>
        <v/>
      </c>
    </row>
    <row r="81" spans="2:11">
      <c r="B81" s="19" t="str">
        <f>IF(C81="","",IFERROR(INDEX($B$1:B80,MATCH(C81,$C$1:C80,0)),I81))</f>
        <v/>
      </c>
      <c r="H81" s="23" t="str">
        <f>IF(A81="","",IFERROR(INDEX('Region Design'!$B$2:$B$100,MATCH(A81,'Region Design'!$A$2:$A$100,0)),"找不到地區"))</f>
        <v/>
      </c>
      <c r="I81" s="23"/>
      <c r="J81" s="21" t="str">
        <f t="shared" si="4"/>
        <v/>
      </c>
      <c r="K81" s="22" t="str">
        <f t="shared" si="5"/>
        <v/>
      </c>
    </row>
    <row r="82" spans="2:11">
      <c r="B82" s="19" t="str">
        <f>IF(C82="","",IFERROR(INDEX($B$1:B81,MATCH(C82,$C$1:C81,0)),I82))</f>
        <v/>
      </c>
      <c r="H82" s="23" t="str">
        <f>IF(A82="","",IFERROR(INDEX('Region Design'!$B$2:$B$100,MATCH(A82,'Region Design'!$A$2:$A$100,0)),"找不到地區"))</f>
        <v/>
      </c>
      <c r="I82" s="23"/>
      <c r="J82" s="21" t="str">
        <f t="shared" si="4"/>
        <v/>
      </c>
      <c r="K82" s="22" t="str">
        <f t="shared" si="5"/>
        <v/>
      </c>
    </row>
    <row r="83" spans="2:11">
      <c r="B83" s="19" t="str">
        <f>IF(C83="","",IFERROR(INDEX($B$1:B82,MATCH(C83,$C$1:C82,0)),I83))</f>
        <v/>
      </c>
      <c r="H83" s="23" t="str">
        <f>IF(A83="","",IFERROR(INDEX('Region Design'!$B$2:$B$100,MATCH(A83,'Region Design'!$A$2:$A$100,0)),"找不到地區"))</f>
        <v/>
      </c>
      <c r="I83" s="23"/>
      <c r="J83" s="21" t="str">
        <f t="shared" si="4"/>
        <v/>
      </c>
      <c r="K83" s="22" t="str">
        <f t="shared" si="5"/>
        <v/>
      </c>
    </row>
    <row r="84" spans="2:11">
      <c r="B84" s="19" t="str">
        <f>IF(C84="","",IFERROR(INDEX($B$1:B83,MATCH(C84,$C$1:C83,0)),I84))</f>
        <v/>
      </c>
      <c r="H84" s="23" t="str">
        <f>IF(A84="","",IFERROR(INDEX('Region Design'!$B$2:$B$100,MATCH(A84,'Region Design'!$A$2:$A$100,0)),"找不到地區"))</f>
        <v/>
      </c>
      <c r="I84" s="23"/>
      <c r="J84" s="21" t="str">
        <f t="shared" si="4"/>
        <v/>
      </c>
      <c r="K84" s="22" t="str">
        <f t="shared" si="5"/>
        <v/>
      </c>
    </row>
    <row r="85" spans="2:11">
      <c r="B85" s="19" t="str">
        <f>IF(C85="","",IFERROR(INDEX($B$1:B84,MATCH(C85,$C$1:C84,0)),I85))</f>
        <v/>
      </c>
      <c r="H85" s="23" t="str">
        <f>IF(A85="","",IFERROR(INDEX('Region Design'!$B$2:$B$100,MATCH(A85,'Region Design'!$A$2:$A$100,0)),"找不到地區"))</f>
        <v/>
      </c>
      <c r="I85" s="23"/>
      <c r="J85" s="21" t="str">
        <f t="shared" si="4"/>
        <v/>
      </c>
      <c r="K85" s="22" t="str">
        <f t="shared" si="5"/>
        <v/>
      </c>
    </row>
    <row r="86" spans="2:11">
      <c r="B86" s="19" t="str">
        <f>IF(C86="","",IFERROR(INDEX($B$1:B85,MATCH(C86,$C$1:C85,0)),I86))</f>
        <v/>
      </c>
      <c r="H86" s="23" t="str">
        <f>IF(A86="","",IFERROR(INDEX('Region Design'!$B$2:$B$100,MATCH(A86,'Region Design'!$A$2:$A$100,0)),"找不到地區"))</f>
        <v/>
      </c>
      <c r="I86" s="23"/>
      <c r="J86" s="21" t="str">
        <f t="shared" si="4"/>
        <v/>
      </c>
      <c r="K86" s="22" t="str">
        <f t="shared" si="5"/>
        <v/>
      </c>
    </row>
    <row r="87" spans="2:11">
      <c r="B87" s="19" t="str">
        <f>IF(C87="","",IFERROR(INDEX($B$1:B86,MATCH(C87,$C$1:C86,0)),I87))</f>
        <v/>
      </c>
      <c r="H87" s="23" t="str">
        <f>IF(A87="","",IFERROR(INDEX('Region Design'!$B$2:$B$100,MATCH(A87,'Region Design'!$A$2:$A$100,0)),"找不到地區"))</f>
        <v/>
      </c>
      <c r="I87" s="23"/>
      <c r="J87" s="21" t="str">
        <f t="shared" si="4"/>
        <v/>
      </c>
      <c r="K87" s="22" t="str">
        <f t="shared" si="5"/>
        <v/>
      </c>
    </row>
    <row r="88" spans="2:11">
      <c r="B88" s="19" t="str">
        <f>IF(C88="","",IFERROR(INDEX($B$1:B87,MATCH(C88,$C$1:C87,0)),I88))</f>
        <v/>
      </c>
      <c r="H88" s="23" t="str">
        <f>IF(A88="","",IFERROR(INDEX('Region Design'!$B$2:$B$100,MATCH(A88,'Region Design'!$A$2:$A$100,0)),"找不到地區"))</f>
        <v/>
      </c>
      <c r="I88" s="23"/>
      <c r="J88" s="21" t="str">
        <f t="shared" si="4"/>
        <v/>
      </c>
      <c r="K88" s="22" t="str">
        <f t="shared" si="5"/>
        <v/>
      </c>
    </row>
    <row r="89" spans="2:11">
      <c r="B89" s="19" t="str">
        <f>IF(C89="","",IFERROR(INDEX($B$1:B88,MATCH(C89,$C$1:C88,0)),I89))</f>
        <v/>
      </c>
      <c r="H89" s="23" t="str">
        <f>IF(A89="","",IFERROR(INDEX('Region Design'!$B$2:$B$100,MATCH(A89,'Region Design'!$A$2:$A$100,0)),"找不到地區"))</f>
        <v/>
      </c>
      <c r="I89" s="23"/>
      <c r="J89" s="21" t="str">
        <f t="shared" si="4"/>
        <v/>
      </c>
      <c r="K89" s="22" t="str">
        <f t="shared" si="5"/>
        <v/>
      </c>
    </row>
    <row r="90" spans="2:11">
      <c r="B90" s="19" t="str">
        <f>IF(C90="","",IFERROR(INDEX($B$1:B89,MATCH(C90,$C$1:C89,0)),I90))</f>
        <v/>
      </c>
      <c r="H90" s="23" t="str">
        <f>IF(A90="","",IFERROR(INDEX('Region Design'!$B$2:$B$100,MATCH(A90,'Region Design'!$A$2:$A$100,0)),"找不到地區"))</f>
        <v/>
      </c>
      <c r="I90" s="23"/>
      <c r="J90" s="21" t="str">
        <f t="shared" si="4"/>
        <v/>
      </c>
      <c r="K90" s="22" t="str">
        <f t="shared" si="5"/>
        <v/>
      </c>
    </row>
    <row r="91" spans="2:11">
      <c r="B91" s="19" t="str">
        <f>IF(C91="","",IFERROR(INDEX($B$1:B90,MATCH(C91,$C$1:C90,0)),I91))</f>
        <v/>
      </c>
      <c r="H91" s="23" t="str">
        <f>IF(A91="","",IFERROR(INDEX('Region Design'!$B$2:$B$100,MATCH(A91,'Region Design'!$A$2:$A$100,0)),"找不到地區"))</f>
        <v/>
      </c>
      <c r="I91" s="23"/>
      <c r="J91" s="21" t="str">
        <f t="shared" si="4"/>
        <v/>
      </c>
      <c r="K91" s="22" t="str">
        <f t="shared" si="5"/>
        <v/>
      </c>
    </row>
    <row r="92" spans="2:11">
      <c r="B92" s="19" t="str">
        <f>IF(C92="","",IFERROR(INDEX($B$1:B91,MATCH(C92,$C$1:C91,0)),I92))</f>
        <v/>
      </c>
      <c r="H92" s="23" t="str">
        <f>IF(A92="","",IFERROR(INDEX('Region Design'!$B$2:$B$100,MATCH(A92,'Region Design'!$A$2:$A$100,0)),"找不到地區"))</f>
        <v/>
      </c>
      <c r="I92" s="23"/>
      <c r="J92" s="21" t="str">
        <f t="shared" si="4"/>
        <v/>
      </c>
      <c r="K92" s="22" t="str">
        <f t="shared" si="5"/>
        <v/>
      </c>
    </row>
    <row r="93" spans="2:11">
      <c r="B93" s="19" t="str">
        <f>IF(C93="","",IFERROR(INDEX($B$1:B92,MATCH(C93,$C$1:C92,0)),I93))</f>
        <v/>
      </c>
      <c r="H93" s="23" t="str">
        <f>IF(A93="","",IFERROR(INDEX('Region Design'!$B$2:$B$100,MATCH(A93,'Region Design'!$A$2:$A$100,0)),"找不到地區"))</f>
        <v/>
      </c>
      <c r="I93" s="23"/>
      <c r="J93" s="21" t="str">
        <f t="shared" si="4"/>
        <v/>
      </c>
      <c r="K93" s="22" t="str">
        <f t="shared" si="5"/>
        <v/>
      </c>
    </row>
    <row r="94" spans="2:11">
      <c r="B94" s="19" t="str">
        <f>IF(C94="","",IFERROR(INDEX($B$1:B93,MATCH(C94,$C$1:C93,0)),I94))</f>
        <v/>
      </c>
      <c r="H94" s="23" t="str">
        <f>IF(A94="","",IFERROR(INDEX('Region Design'!$B$2:$B$100,MATCH(A94,'Region Design'!$A$2:$A$100,0)),"找不到地區"))</f>
        <v/>
      </c>
      <c r="I94" s="23"/>
      <c r="J94" s="21" t="str">
        <f t="shared" si="4"/>
        <v/>
      </c>
      <c r="K94" s="22" t="str">
        <f t="shared" si="5"/>
        <v/>
      </c>
    </row>
    <row r="95" spans="2:11">
      <c r="B95" s="19" t="str">
        <f>IF(C95="","",IFERROR(INDEX($B$1:B94,MATCH(C95,$C$1:C94,0)),I95))</f>
        <v/>
      </c>
      <c r="H95" s="23" t="str">
        <f>IF(A95="","",IFERROR(INDEX('Region Design'!$B$2:$B$100,MATCH(A95,'Region Design'!$A$2:$A$100,0)),"找不到地區"))</f>
        <v/>
      </c>
      <c r="I95" s="23"/>
      <c r="J95" s="21" t="str">
        <f t="shared" si="4"/>
        <v/>
      </c>
      <c r="K95" s="22" t="str">
        <f t="shared" si="5"/>
        <v/>
      </c>
    </row>
    <row r="96" spans="2:11">
      <c r="B96" s="19" t="str">
        <f>IF(C96="","",IFERROR(INDEX($B$1:B95,MATCH(C96,$C$1:C95,0)),I96))</f>
        <v/>
      </c>
      <c r="H96" s="23" t="str">
        <f>IF(A96="","",IFERROR(INDEX('Region Design'!$B$2:$B$100,MATCH(A96,'Region Design'!$A$2:$A$100,0)),"找不到地區"))</f>
        <v/>
      </c>
      <c r="I96" s="23"/>
      <c r="J96" s="21" t="str">
        <f t="shared" si="4"/>
        <v/>
      </c>
      <c r="K96" s="22" t="str">
        <f t="shared" si="5"/>
        <v/>
      </c>
    </row>
    <row r="97" spans="2:11">
      <c r="B97" s="19" t="str">
        <f>IF(C97="","",IFERROR(INDEX($B$1:B96,MATCH(C97,$C$1:C96,0)),I97))</f>
        <v/>
      </c>
      <c r="H97" s="23" t="str">
        <f>IF(A97="","",IFERROR(INDEX('Region Design'!$B$2:$B$100,MATCH(A97,'Region Design'!$A$2:$A$100,0)),"找不到地區"))</f>
        <v/>
      </c>
      <c r="I97" s="23"/>
      <c r="J97" s="21" t="str">
        <f t="shared" si="4"/>
        <v/>
      </c>
      <c r="K97" s="22" t="str">
        <f t="shared" si="5"/>
        <v/>
      </c>
    </row>
    <row r="98" spans="2:11">
      <c r="B98" s="19" t="str">
        <f>IF(C98="","",IFERROR(INDEX($B$1:B97,MATCH(C98,$C$1:C97,0)),I98))</f>
        <v/>
      </c>
      <c r="H98" s="23" t="str">
        <f>IF(A98="","",IFERROR(INDEX('Region Design'!$B$2:$B$100,MATCH(A98,'Region Design'!$A$2:$A$100,0)),"找不到地區"))</f>
        <v/>
      </c>
      <c r="I98" s="23"/>
      <c r="J98" s="21" t="str">
        <f t="shared" si="4"/>
        <v/>
      </c>
      <c r="K98" s="22" t="str">
        <f t="shared" ref="K98:K129" si="6">IF(A98="","",IFERROR(J98/SUMIF($A$2:$A$100,A98,$J$2:$J$100),0))</f>
        <v/>
      </c>
    </row>
    <row r="99" spans="2:11">
      <c r="B99" s="19" t="str">
        <f>IF(C99="","",IFERROR(INDEX($B$1:B98,MATCH(C99,$C$1:C98,0)),I99))</f>
        <v/>
      </c>
      <c r="H99" s="23" t="str">
        <f>IF(A99="","",IFERROR(INDEX('Region Design'!$B$2:$B$100,MATCH(A99,'Region Design'!$A$2:$A$100,0)),"找不到地區"))</f>
        <v/>
      </c>
      <c r="I99" s="23"/>
      <c r="J99" s="21" t="str">
        <f t="shared" si="4"/>
        <v/>
      </c>
      <c r="K99" s="22" t="str">
        <f t="shared" si="6"/>
        <v/>
      </c>
    </row>
    <row r="100" spans="2:11">
      <c r="B100" s="19" t="str">
        <f>IF(C100="","",IFERROR(INDEX($B$1:B99,MATCH(C100,$C$1:C99,0)),I100))</f>
        <v/>
      </c>
      <c r="H100" s="23" t="str">
        <f>IF(A100="","",IFERROR(INDEX('Region Design'!$B$2:$B$100,MATCH(A100,'Region Design'!$A$2:$A$100,0)),"找不到地區"))</f>
        <v/>
      </c>
      <c r="I100" s="23"/>
      <c r="J100" s="21" t="str">
        <f t="shared" si="4"/>
        <v/>
      </c>
      <c r="K100" s="22" t="str">
        <f t="shared" si="6"/>
        <v/>
      </c>
    </row>
  </sheetData>
  <phoneticPr fontId="6" type="noConversion"/>
  <dataValidations count="3">
    <dataValidation type="list" allowBlank="1" showInputMessage="1" showErrorMessage="1" sqref="D2:D1048576" xr:uid="{00000000-0002-0000-0400-000000000000}">
      <formula1>"普通,稀有,極稀有"</formula1>
    </dataValidation>
    <dataValidation type="whole" allowBlank="1" showInputMessage="1" showErrorMessage="1" sqref="G2:G1048576" xr:uid="{00000000-0002-0000-0400-000001000000}">
      <formula1>1</formula1>
      <formula2>10</formula2>
    </dataValidation>
    <dataValidation type="whole" allowBlank="1" showInputMessage="1" showErrorMessage="1" sqref="F2:F1048576" xr:uid="{00000000-0002-0000-0400-000002000000}">
      <formula1>5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workbookViewId="0"/>
  </sheetViews>
  <sheetFormatPr defaultRowHeight="14.25"/>
  <cols>
    <col min="1" max="1" width="24" customWidth="1"/>
    <col min="2" max="2" width="22" customWidth="1"/>
    <col min="3" max="3" width="34" customWidth="1"/>
    <col min="4" max="4" width="30" customWidth="1"/>
    <col min="5" max="5" width="4" customWidth="1"/>
    <col min="6" max="6" width="24" customWidth="1"/>
    <col min="7" max="7" width="30" customWidth="1"/>
    <col min="8" max="8" width="36" customWidth="1"/>
  </cols>
  <sheetData>
    <row r="1" spans="1:8" ht="27.95" customHeight="1">
      <c r="A1" s="24" t="s">
        <v>370</v>
      </c>
      <c r="B1" s="24" t="s">
        <v>370</v>
      </c>
      <c r="C1" s="24" t="s">
        <v>370</v>
      </c>
      <c r="D1" s="24" t="s">
        <v>370</v>
      </c>
      <c r="E1" s="24" t="s">
        <v>370</v>
      </c>
      <c r="F1" s="24" t="s">
        <v>370</v>
      </c>
      <c r="G1" s="24" t="s">
        <v>370</v>
      </c>
      <c r="H1" s="24" t="s">
        <v>370</v>
      </c>
    </row>
    <row r="3" spans="1:8" ht="36" customHeight="1">
      <c r="A3" s="25" t="s">
        <v>371</v>
      </c>
      <c r="B3" s="26" t="s">
        <v>371</v>
      </c>
      <c r="C3" s="26" t="s">
        <v>371</v>
      </c>
      <c r="D3" s="26" t="s">
        <v>371</v>
      </c>
      <c r="E3" s="26" t="s">
        <v>371</v>
      </c>
      <c r="F3" s="26" t="s">
        <v>371</v>
      </c>
      <c r="G3" s="26" t="s">
        <v>371</v>
      </c>
      <c r="H3" s="27" t="s">
        <v>371</v>
      </c>
    </row>
    <row r="5" spans="1:8" ht="27.95" customHeight="1">
      <c r="A5" s="1" t="s">
        <v>372</v>
      </c>
      <c r="B5" s="1" t="s">
        <v>373</v>
      </c>
      <c r="C5" s="1" t="s">
        <v>374</v>
      </c>
      <c r="D5" s="1" t="s">
        <v>7</v>
      </c>
      <c r="E5" s="1"/>
      <c r="F5" s="8" t="s">
        <v>375</v>
      </c>
      <c r="G5" s="8" t="s">
        <v>376</v>
      </c>
      <c r="H5" s="8" t="s">
        <v>377</v>
      </c>
    </row>
    <row r="6" spans="1:8" ht="27.95" customHeight="1">
      <c r="A6" s="2" t="s">
        <v>378</v>
      </c>
      <c r="B6" s="2">
        <v>20</v>
      </c>
      <c r="C6" s="2" t="s">
        <v>379</v>
      </c>
      <c r="D6" s="2" t="s">
        <v>380</v>
      </c>
      <c r="E6" s="2"/>
      <c r="F6" s="2" t="s">
        <v>381</v>
      </c>
      <c r="G6" s="2" t="s">
        <v>382</v>
      </c>
      <c r="H6" s="2" t="s">
        <v>383</v>
      </c>
    </row>
    <row r="7" spans="1:8" ht="27.95" customHeight="1">
      <c r="A7" s="2" t="s">
        <v>384</v>
      </c>
      <c r="B7" s="2">
        <v>15</v>
      </c>
      <c r="C7" s="2" t="s">
        <v>385</v>
      </c>
      <c r="D7" s="2" t="s">
        <v>386</v>
      </c>
      <c r="E7" s="2"/>
      <c r="F7" s="2" t="s">
        <v>387</v>
      </c>
      <c r="G7" s="2" t="s">
        <v>388</v>
      </c>
      <c r="H7" s="2" t="s">
        <v>389</v>
      </c>
    </row>
    <row r="8" spans="1:8" ht="27.95" customHeight="1">
      <c r="A8" s="2" t="s">
        <v>390</v>
      </c>
      <c r="B8" s="2">
        <v>5</v>
      </c>
      <c r="C8" s="2" t="s">
        <v>391</v>
      </c>
      <c r="D8" s="2"/>
      <c r="E8" s="2"/>
      <c r="F8" s="2" t="s">
        <v>392</v>
      </c>
      <c r="G8" s="2" t="s">
        <v>393</v>
      </c>
      <c r="H8" s="2" t="s">
        <v>394</v>
      </c>
    </row>
    <row r="9" spans="1:8" ht="27.95" customHeight="1">
      <c r="A9" s="2" t="s">
        <v>395</v>
      </c>
      <c r="B9" s="2">
        <v>3</v>
      </c>
      <c r="C9" s="2" t="s">
        <v>396</v>
      </c>
      <c r="D9" s="2"/>
      <c r="E9" s="2"/>
      <c r="F9" s="2" t="s">
        <v>397</v>
      </c>
      <c r="G9" s="2" t="s">
        <v>398</v>
      </c>
      <c r="H9" s="2" t="s">
        <v>399</v>
      </c>
    </row>
    <row r="10" spans="1:8" ht="27.95" customHeight="1">
      <c r="A10" s="2" t="s">
        <v>400</v>
      </c>
      <c r="B10" s="2" t="s">
        <v>401</v>
      </c>
      <c r="C10" s="2" t="s">
        <v>402</v>
      </c>
      <c r="D10" s="2" t="s">
        <v>403</v>
      </c>
      <c r="E10" s="2"/>
      <c r="F10" s="2" t="s">
        <v>404</v>
      </c>
      <c r="G10" s="2" t="s">
        <v>405</v>
      </c>
      <c r="H10" s="2" t="s">
        <v>406</v>
      </c>
    </row>
    <row r="11" spans="1:8" ht="27.95" customHeight="1">
      <c r="A11" s="2" t="s">
        <v>407</v>
      </c>
      <c r="B11" s="2" t="s">
        <v>408</v>
      </c>
      <c r="C11" s="2" t="s">
        <v>409</v>
      </c>
      <c r="D11" s="2" t="s">
        <v>410</v>
      </c>
      <c r="E11" s="2"/>
      <c r="F11" s="2" t="s">
        <v>76</v>
      </c>
      <c r="G11" s="2" t="s">
        <v>411</v>
      </c>
      <c r="H11" s="2" t="s">
        <v>412</v>
      </c>
    </row>
    <row r="12" spans="1:8" ht="27.95" customHeight="1">
      <c r="A12" s="2" t="s">
        <v>413</v>
      </c>
      <c r="B12" s="2">
        <v>-2</v>
      </c>
      <c r="C12" s="2" t="s">
        <v>414</v>
      </c>
      <c r="D12" s="2"/>
      <c r="E12" s="2"/>
      <c r="F12" s="2" t="s">
        <v>75</v>
      </c>
      <c r="G12" s="2" t="s">
        <v>415</v>
      </c>
      <c r="H12" s="2" t="s">
        <v>416</v>
      </c>
    </row>
    <row r="13" spans="1:8" ht="27.95" customHeight="1">
      <c r="A13" s="2" t="s">
        <v>417</v>
      </c>
      <c r="B13" s="2">
        <v>2</v>
      </c>
      <c r="C13" s="2" t="s">
        <v>418</v>
      </c>
      <c r="D13" s="2"/>
      <c r="E13" s="2"/>
      <c r="F13" s="2" t="s">
        <v>46</v>
      </c>
      <c r="G13" s="2" t="s">
        <v>419</v>
      </c>
      <c r="H13" s="2" t="s">
        <v>420</v>
      </c>
    </row>
    <row r="14" spans="1:8" ht="27.95" customHeight="1">
      <c r="A14" s="2" t="s">
        <v>421</v>
      </c>
      <c r="B14" s="2">
        <v>-5</v>
      </c>
      <c r="C14" s="2" t="s">
        <v>422</v>
      </c>
      <c r="D14" s="2"/>
      <c r="E14" s="2"/>
      <c r="F14" s="2"/>
      <c r="G14" s="2"/>
      <c r="H14" s="2"/>
    </row>
    <row r="15" spans="1:8" ht="27.95" customHeight="1">
      <c r="A15" s="2" t="s">
        <v>423</v>
      </c>
      <c r="B15" s="2">
        <v>5</v>
      </c>
      <c r="C15" s="2" t="s">
        <v>422</v>
      </c>
      <c r="D15" s="2"/>
      <c r="E15" s="2"/>
      <c r="F15" s="2"/>
      <c r="G15" s="2"/>
      <c r="H15" s="2"/>
    </row>
    <row r="16" spans="1:8" ht="27.95" customHeight="1">
      <c r="A16" s="2" t="s">
        <v>424</v>
      </c>
      <c r="B16" s="2">
        <v>-5</v>
      </c>
      <c r="C16" s="2" t="s">
        <v>425</v>
      </c>
      <c r="D16" s="2"/>
      <c r="E16" s="2"/>
      <c r="F16" s="2"/>
      <c r="G16" s="2"/>
      <c r="H16" s="2"/>
    </row>
    <row r="17" spans="1:8" ht="27.95" customHeight="1">
      <c r="A17" s="2" t="s">
        <v>426</v>
      </c>
      <c r="B17" s="2">
        <v>70</v>
      </c>
      <c r="C17" s="2" t="s">
        <v>427</v>
      </c>
      <c r="D17" s="2" t="s">
        <v>428</v>
      </c>
      <c r="E17" s="2"/>
      <c r="F17" s="2"/>
      <c r="G17" s="2"/>
      <c r="H17" s="2"/>
    </row>
    <row r="18" spans="1:8" ht="27.95" customHeight="1">
      <c r="A18" s="2" t="s">
        <v>429</v>
      </c>
      <c r="B18" s="2">
        <v>100</v>
      </c>
      <c r="C18" s="2" t="s">
        <v>430</v>
      </c>
      <c r="D18" s="2"/>
      <c r="E18" s="2"/>
      <c r="F18" s="2"/>
      <c r="G18" s="2"/>
      <c r="H18" s="2"/>
    </row>
    <row r="19" spans="1:8" ht="27.95" customHeight="1">
      <c r="A19" s="2" t="s">
        <v>431</v>
      </c>
      <c r="B19" s="2">
        <v>-5</v>
      </c>
      <c r="C19" s="2" t="s">
        <v>432</v>
      </c>
      <c r="D19" s="2"/>
      <c r="E19" s="2"/>
      <c r="F19" s="2"/>
      <c r="G19" s="2"/>
      <c r="H19" s="2"/>
    </row>
  </sheetData>
  <mergeCells count="2">
    <mergeCell ref="A1:H1"/>
    <mergeCell ref="A3:H3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showGridLines="0" workbookViewId="0"/>
  </sheetViews>
  <sheetFormatPr defaultRowHeight="14.25"/>
  <cols>
    <col min="1" max="1" width="16" customWidth="1"/>
    <col min="2" max="2" width="28" customWidth="1"/>
    <col min="3" max="3" width="26" customWidth="1"/>
    <col min="4" max="4" width="16" customWidth="1"/>
    <col min="5" max="5" width="28" customWidth="1"/>
    <col min="6" max="6" width="36" customWidth="1"/>
  </cols>
  <sheetData>
    <row r="1" spans="1:6" ht="27.95" customHeight="1">
      <c r="A1" s="24" t="s">
        <v>433</v>
      </c>
      <c r="B1" s="24" t="s">
        <v>433</v>
      </c>
      <c r="C1" s="24" t="s">
        <v>433</v>
      </c>
      <c r="D1" s="24" t="s">
        <v>433</v>
      </c>
      <c r="E1" s="24" t="s">
        <v>433</v>
      </c>
      <c r="F1" s="24" t="s">
        <v>433</v>
      </c>
    </row>
    <row r="3" spans="1:6" ht="36" customHeight="1">
      <c r="A3" s="25" t="s">
        <v>434</v>
      </c>
      <c r="B3" s="26" t="s">
        <v>434</v>
      </c>
      <c r="C3" s="26" t="s">
        <v>434</v>
      </c>
      <c r="D3" s="26" t="s">
        <v>434</v>
      </c>
      <c r="E3" s="26" t="s">
        <v>434</v>
      </c>
      <c r="F3" s="27" t="s">
        <v>434</v>
      </c>
    </row>
    <row r="5" spans="1:6" ht="27.95" customHeight="1">
      <c r="A5" s="1" t="s">
        <v>435</v>
      </c>
      <c r="B5" s="1" t="s">
        <v>436</v>
      </c>
      <c r="C5" s="1" t="s">
        <v>437</v>
      </c>
      <c r="D5" s="1" t="s">
        <v>438</v>
      </c>
      <c r="E5" s="1" t="s">
        <v>439</v>
      </c>
      <c r="F5" s="1" t="s">
        <v>7</v>
      </c>
    </row>
    <row r="6" spans="1:6" ht="27.95" customHeight="1">
      <c r="A6" s="2" t="s">
        <v>440</v>
      </c>
      <c r="B6" s="2" t="s">
        <v>441</v>
      </c>
      <c r="C6" s="2" t="s">
        <v>442</v>
      </c>
      <c r="D6" s="2" t="s">
        <v>443</v>
      </c>
      <c r="E6" s="2" t="s">
        <v>444</v>
      </c>
      <c r="F6" s="2" t="s">
        <v>445</v>
      </c>
    </row>
    <row r="7" spans="1:6" ht="27.95" customHeight="1">
      <c r="A7" s="2" t="s">
        <v>440</v>
      </c>
      <c r="B7" s="2" t="s">
        <v>446</v>
      </c>
      <c r="C7" s="2" t="s">
        <v>447</v>
      </c>
      <c r="D7" s="2" t="s">
        <v>443</v>
      </c>
      <c r="E7" s="2" t="s">
        <v>448</v>
      </c>
      <c r="F7" s="2" t="s">
        <v>449</v>
      </c>
    </row>
    <row r="8" spans="1:6" ht="27.95" customHeight="1">
      <c r="A8" s="2" t="s">
        <v>440</v>
      </c>
      <c r="B8" s="2" t="s">
        <v>450</v>
      </c>
      <c r="C8" s="2" t="s">
        <v>451</v>
      </c>
      <c r="D8" s="2" t="s">
        <v>443</v>
      </c>
      <c r="E8" s="2" t="s">
        <v>452</v>
      </c>
      <c r="F8" s="2" t="s">
        <v>453</v>
      </c>
    </row>
    <row r="9" spans="1:6" ht="27.95" customHeight="1">
      <c r="A9" s="2" t="s">
        <v>440</v>
      </c>
      <c r="B9" s="2" t="s">
        <v>454</v>
      </c>
      <c r="C9" s="2" t="s">
        <v>455</v>
      </c>
      <c r="D9" s="2" t="s">
        <v>443</v>
      </c>
      <c r="E9" s="2" t="s">
        <v>456</v>
      </c>
      <c r="F9" s="2"/>
    </row>
    <row r="10" spans="1:6" ht="27.95" customHeight="1">
      <c r="A10" s="2" t="s">
        <v>440</v>
      </c>
      <c r="B10" s="2" t="s">
        <v>457</v>
      </c>
      <c r="C10" s="2" t="s">
        <v>458</v>
      </c>
      <c r="D10" s="2" t="s">
        <v>443</v>
      </c>
      <c r="E10" s="2" t="s">
        <v>459</v>
      </c>
      <c r="F10" s="2"/>
    </row>
    <row r="11" spans="1:6" ht="27.95" customHeight="1">
      <c r="A11" s="2" t="s">
        <v>440</v>
      </c>
      <c r="B11" s="2" t="s">
        <v>460</v>
      </c>
      <c r="C11" s="2" t="s">
        <v>461</v>
      </c>
      <c r="D11" s="2" t="s">
        <v>443</v>
      </c>
      <c r="E11" s="2" t="s">
        <v>22</v>
      </c>
      <c r="F11" s="2" t="s">
        <v>462</v>
      </c>
    </row>
    <row r="12" spans="1:6" ht="27.95" customHeight="1">
      <c r="A12" s="2" t="s">
        <v>440</v>
      </c>
      <c r="B12" s="2" t="s">
        <v>463</v>
      </c>
      <c r="C12" s="2" t="s">
        <v>464</v>
      </c>
      <c r="D12" s="2" t="s">
        <v>443</v>
      </c>
      <c r="E12" s="2" t="s">
        <v>465</v>
      </c>
      <c r="F12" s="2"/>
    </row>
    <row r="13" spans="1:6" ht="27.95" customHeight="1">
      <c r="A13" s="2" t="s">
        <v>440</v>
      </c>
      <c r="B13" s="2" t="s">
        <v>466</v>
      </c>
      <c r="C13" s="2" t="s">
        <v>467</v>
      </c>
      <c r="D13" s="2" t="s">
        <v>443</v>
      </c>
      <c r="E13" s="2" t="s">
        <v>468</v>
      </c>
      <c r="F13" s="2"/>
    </row>
    <row r="14" spans="1:6" ht="27.95" customHeight="1">
      <c r="A14" s="2" t="s">
        <v>469</v>
      </c>
      <c r="B14" s="2" t="s">
        <v>470</v>
      </c>
      <c r="C14" s="2" t="s">
        <v>471</v>
      </c>
      <c r="D14" s="2" t="s">
        <v>443</v>
      </c>
      <c r="E14" s="2" t="s">
        <v>472</v>
      </c>
      <c r="F14" s="2" t="s">
        <v>473</v>
      </c>
    </row>
    <row r="15" spans="1:6" ht="27.95" customHeight="1">
      <c r="A15" s="2" t="s">
        <v>469</v>
      </c>
      <c r="B15" s="2" t="s">
        <v>474</v>
      </c>
      <c r="C15" s="2" t="s">
        <v>475</v>
      </c>
      <c r="D15" s="2" t="s">
        <v>443</v>
      </c>
      <c r="E15" s="2" t="s">
        <v>476</v>
      </c>
      <c r="F15" s="2"/>
    </row>
    <row r="16" spans="1:6" ht="27.95" customHeight="1">
      <c r="A16" s="2" t="s">
        <v>469</v>
      </c>
      <c r="B16" s="2" t="s">
        <v>477</v>
      </c>
      <c r="C16" s="2" t="s">
        <v>478</v>
      </c>
      <c r="D16" s="2" t="s">
        <v>443</v>
      </c>
      <c r="E16" s="2" t="s">
        <v>479</v>
      </c>
      <c r="F16" s="2"/>
    </row>
    <row r="17" spans="1:6" ht="27.95" customHeight="1">
      <c r="A17" s="2" t="s">
        <v>480</v>
      </c>
      <c r="B17" s="2" t="s">
        <v>481</v>
      </c>
      <c r="C17" s="2" t="s">
        <v>482</v>
      </c>
      <c r="D17" s="2" t="s">
        <v>443</v>
      </c>
      <c r="E17" s="2" t="s">
        <v>28</v>
      </c>
      <c r="F17" s="2" t="s">
        <v>483</v>
      </c>
    </row>
    <row r="18" spans="1:6" ht="27.95" customHeight="1">
      <c r="A18" s="2" t="s">
        <v>484</v>
      </c>
      <c r="B18" s="2" t="s">
        <v>485</v>
      </c>
      <c r="C18" s="2" t="s">
        <v>486</v>
      </c>
      <c r="D18" s="2" t="s">
        <v>443</v>
      </c>
      <c r="E18" s="2" t="s">
        <v>487</v>
      </c>
      <c r="F18" s="2" t="s">
        <v>488</v>
      </c>
    </row>
    <row r="19" spans="1:6" ht="27.95" customHeight="1">
      <c r="A19" s="2" t="s">
        <v>484</v>
      </c>
      <c r="B19" s="2" t="s">
        <v>489</v>
      </c>
      <c r="C19" s="2" t="s">
        <v>490</v>
      </c>
      <c r="D19" s="2" t="s">
        <v>443</v>
      </c>
      <c r="E19" s="2" t="s">
        <v>491</v>
      </c>
      <c r="F19" s="2" t="s">
        <v>492</v>
      </c>
    </row>
    <row r="20" spans="1:6" ht="27.95" customHeight="1">
      <c r="A20" s="2" t="s">
        <v>493</v>
      </c>
      <c r="B20" s="2" t="s">
        <v>494</v>
      </c>
      <c r="C20" s="2" t="s">
        <v>495</v>
      </c>
      <c r="D20" s="2" t="s">
        <v>496</v>
      </c>
      <c r="E20" s="2" t="s">
        <v>497</v>
      </c>
      <c r="F20" s="2" t="s">
        <v>498</v>
      </c>
    </row>
    <row r="21" spans="1:6" ht="27.95" customHeight="1">
      <c r="A21" s="2" t="s">
        <v>493</v>
      </c>
      <c r="B21" s="2" t="s">
        <v>499</v>
      </c>
      <c r="C21" s="2" t="s">
        <v>500</v>
      </c>
      <c r="D21" s="2" t="s">
        <v>501</v>
      </c>
      <c r="E21" s="2" t="s">
        <v>502</v>
      </c>
      <c r="F21" s="2" t="s">
        <v>503</v>
      </c>
    </row>
  </sheetData>
  <mergeCells count="2">
    <mergeCell ref="A1:F1"/>
    <mergeCell ref="A3:F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workbookViewId="0"/>
  </sheetViews>
  <sheetFormatPr defaultRowHeight="14.25"/>
  <cols>
    <col min="1" max="1" width="20" customWidth="1"/>
    <col min="2" max="2" width="18" customWidth="1"/>
    <col min="3" max="3" width="30" customWidth="1"/>
    <col min="4" max="5" width="18" customWidth="1"/>
    <col min="6" max="7" width="28" customWidth="1"/>
    <col min="8" max="8" width="32" customWidth="1"/>
  </cols>
  <sheetData>
    <row r="1" spans="1:8" ht="27.95" customHeight="1">
      <c r="A1" s="24" t="s">
        <v>504</v>
      </c>
      <c r="B1" s="24" t="s">
        <v>504</v>
      </c>
      <c r="C1" s="24" t="s">
        <v>504</v>
      </c>
      <c r="D1" s="24" t="s">
        <v>504</v>
      </c>
      <c r="E1" s="24" t="s">
        <v>504</v>
      </c>
      <c r="F1" s="24" t="s">
        <v>504</v>
      </c>
      <c r="G1" s="24" t="s">
        <v>504</v>
      </c>
      <c r="H1" s="24" t="s">
        <v>504</v>
      </c>
    </row>
    <row r="3" spans="1:8" ht="36" customHeight="1">
      <c r="A3" s="25" t="s">
        <v>505</v>
      </c>
      <c r="B3" s="26" t="s">
        <v>505</v>
      </c>
      <c r="C3" s="26" t="s">
        <v>505</v>
      </c>
      <c r="D3" s="26" t="s">
        <v>505</v>
      </c>
      <c r="E3" s="26" t="s">
        <v>505</v>
      </c>
      <c r="F3" s="26" t="s">
        <v>505</v>
      </c>
      <c r="G3" s="26" t="s">
        <v>505</v>
      </c>
      <c r="H3" s="27" t="s">
        <v>505</v>
      </c>
    </row>
    <row r="5" spans="1:8" ht="30" customHeight="1">
      <c r="A5" s="1" t="s">
        <v>38</v>
      </c>
      <c r="B5" s="1" t="s">
        <v>506</v>
      </c>
      <c r="C5" s="1" t="s">
        <v>507</v>
      </c>
      <c r="D5" s="1" t="s">
        <v>508</v>
      </c>
      <c r="E5" s="1" t="s">
        <v>509</v>
      </c>
      <c r="F5" s="1" t="s">
        <v>510</v>
      </c>
      <c r="G5" s="1" t="s">
        <v>511</v>
      </c>
      <c r="H5" s="1" t="s">
        <v>7</v>
      </c>
    </row>
    <row r="6" spans="1:8" ht="30" customHeight="1">
      <c r="A6" s="2" t="s">
        <v>512</v>
      </c>
      <c r="B6" s="2" t="s">
        <v>513</v>
      </c>
      <c r="C6" s="2" t="s">
        <v>514</v>
      </c>
      <c r="D6" s="2" t="s">
        <v>515</v>
      </c>
      <c r="E6" s="2" t="s">
        <v>54</v>
      </c>
      <c r="F6" s="2" t="s">
        <v>516</v>
      </c>
      <c r="G6" s="2" t="s">
        <v>517</v>
      </c>
      <c r="H6" s="2"/>
    </row>
    <row r="7" spans="1:8" ht="30" customHeight="1">
      <c r="A7" s="2" t="s">
        <v>88</v>
      </c>
      <c r="B7" s="2" t="s">
        <v>518</v>
      </c>
      <c r="C7" s="2" t="s">
        <v>519</v>
      </c>
      <c r="D7" s="2" t="s">
        <v>54</v>
      </c>
      <c r="E7" s="2" t="s">
        <v>54</v>
      </c>
      <c r="F7" s="2" t="s">
        <v>520</v>
      </c>
      <c r="G7" s="2" t="s">
        <v>521</v>
      </c>
      <c r="H7" s="2" t="s">
        <v>522</v>
      </c>
    </row>
    <row r="8" spans="1:8" ht="30" customHeight="1">
      <c r="A8" s="2" t="s">
        <v>114</v>
      </c>
      <c r="B8" s="2" t="s">
        <v>523</v>
      </c>
      <c r="C8" s="2" t="s">
        <v>524</v>
      </c>
      <c r="D8" s="2" t="s">
        <v>36</v>
      </c>
      <c r="E8" s="2" t="s">
        <v>525</v>
      </c>
      <c r="F8" s="2" t="s">
        <v>526</v>
      </c>
      <c r="G8" s="2" t="s">
        <v>527</v>
      </c>
      <c r="H8" s="2"/>
    </row>
    <row r="9" spans="1:8" ht="30" customHeight="1">
      <c r="A9" s="2" t="s">
        <v>136</v>
      </c>
      <c r="B9" s="2" t="s">
        <v>528</v>
      </c>
      <c r="C9" s="2" t="s">
        <v>529</v>
      </c>
      <c r="D9" s="2" t="s">
        <v>530</v>
      </c>
      <c r="E9" s="2" t="s">
        <v>531</v>
      </c>
      <c r="F9" s="2" t="s">
        <v>532</v>
      </c>
      <c r="G9" s="2" t="s">
        <v>533</v>
      </c>
      <c r="H9" s="2"/>
    </row>
    <row r="10" spans="1:8" ht="30" customHeight="1">
      <c r="A10" s="2" t="s">
        <v>534</v>
      </c>
      <c r="B10" s="2" t="s">
        <v>535</v>
      </c>
      <c r="C10" s="2" t="s">
        <v>536</v>
      </c>
      <c r="D10" s="2" t="s">
        <v>537</v>
      </c>
      <c r="E10" s="2" t="s">
        <v>538</v>
      </c>
      <c r="F10" s="2" t="s">
        <v>539</v>
      </c>
      <c r="G10" s="2" t="s">
        <v>540</v>
      </c>
      <c r="H10" s="2"/>
    </row>
    <row r="11" spans="1:8" ht="30" customHeight="1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546</v>
      </c>
      <c r="G11" s="2" t="s">
        <v>547</v>
      </c>
      <c r="H11" s="2" t="s">
        <v>548</v>
      </c>
    </row>
    <row r="12" spans="1:8" ht="30" customHeight="1">
      <c r="A12" s="2" t="s">
        <v>549</v>
      </c>
      <c r="B12" s="2" t="s">
        <v>550</v>
      </c>
      <c r="C12" s="2" t="s">
        <v>536</v>
      </c>
      <c r="D12" s="2" t="s">
        <v>551</v>
      </c>
      <c r="E12" s="2" t="s">
        <v>109</v>
      </c>
      <c r="F12" s="2" t="s">
        <v>552</v>
      </c>
      <c r="G12" s="2" t="s">
        <v>553</v>
      </c>
      <c r="H12" s="2" t="s">
        <v>554</v>
      </c>
    </row>
  </sheetData>
  <mergeCells count="2">
    <mergeCell ref="A1:H1"/>
    <mergeCell ref="A3:H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4"/>
  <sheetViews>
    <sheetView showGridLines="0" workbookViewId="0"/>
  </sheetViews>
  <sheetFormatPr defaultRowHeight="14.25"/>
  <cols>
    <col min="1" max="1" width="18" customWidth="1"/>
    <col min="2" max="2" width="20" customWidth="1"/>
    <col min="3" max="3" width="12" customWidth="1"/>
    <col min="4" max="4" width="14" customWidth="1"/>
    <col min="5" max="6" width="12" customWidth="1"/>
    <col min="7" max="7" width="26" customWidth="1"/>
    <col min="8" max="8" width="12" customWidth="1"/>
    <col min="9" max="9" width="14" customWidth="1"/>
    <col min="10" max="11" width="16" customWidth="1"/>
    <col min="12" max="12" width="30" customWidth="1"/>
    <col min="13" max="13" width="34" customWidth="1"/>
    <col min="14" max="14" width="30" customWidth="1"/>
  </cols>
  <sheetData>
    <row r="1" spans="1:14" ht="27.95" customHeight="1">
      <c r="A1" s="24" t="s">
        <v>555</v>
      </c>
      <c r="B1" s="24" t="s">
        <v>555</v>
      </c>
      <c r="C1" s="24" t="s">
        <v>555</v>
      </c>
      <c r="D1" s="24" t="s">
        <v>555</v>
      </c>
      <c r="E1" s="24" t="s">
        <v>555</v>
      </c>
      <c r="F1" s="24" t="s">
        <v>555</v>
      </c>
      <c r="G1" s="24" t="s">
        <v>555</v>
      </c>
      <c r="H1" s="24" t="s">
        <v>555</v>
      </c>
      <c r="I1" s="24" t="s">
        <v>555</v>
      </c>
      <c r="J1" s="24" t="s">
        <v>555</v>
      </c>
      <c r="K1" s="24" t="s">
        <v>555</v>
      </c>
      <c r="L1" s="24" t="s">
        <v>555</v>
      </c>
      <c r="M1" s="24" t="s">
        <v>555</v>
      </c>
      <c r="N1" s="24" t="s">
        <v>555</v>
      </c>
    </row>
    <row r="2" spans="1:14" ht="32.1" customHeight="1">
      <c r="A2" s="29" t="s">
        <v>556</v>
      </c>
      <c r="B2" s="30" t="s">
        <v>556</v>
      </c>
      <c r="C2" s="30" t="s">
        <v>556</v>
      </c>
      <c r="D2" s="30" t="s">
        <v>556</v>
      </c>
      <c r="E2" s="30" t="s">
        <v>556</v>
      </c>
      <c r="F2" s="30" t="s">
        <v>556</v>
      </c>
      <c r="G2" s="30" t="s">
        <v>556</v>
      </c>
      <c r="H2" s="30" t="s">
        <v>556</v>
      </c>
      <c r="I2" s="30" t="s">
        <v>556</v>
      </c>
      <c r="J2" s="30" t="s">
        <v>556</v>
      </c>
      <c r="K2" s="30" t="s">
        <v>556</v>
      </c>
      <c r="L2" s="30" t="s">
        <v>556</v>
      </c>
      <c r="M2" s="30" t="s">
        <v>556</v>
      </c>
      <c r="N2" s="31" t="s">
        <v>556</v>
      </c>
    </row>
    <row r="3" spans="1:14" ht="32.1" customHeight="1">
      <c r="A3" s="32" t="s">
        <v>556</v>
      </c>
      <c r="B3" s="33" t="s">
        <v>556</v>
      </c>
      <c r="C3" s="33" t="s">
        <v>556</v>
      </c>
      <c r="D3" s="33" t="s">
        <v>556</v>
      </c>
      <c r="E3" s="33" t="s">
        <v>556</v>
      </c>
      <c r="F3" s="33" t="s">
        <v>556</v>
      </c>
      <c r="G3" s="33" t="s">
        <v>556</v>
      </c>
      <c r="H3" s="33" t="s">
        <v>556</v>
      </c>
      <c r="I3" s="33" t="s">
        <v>556</v>
      </c>
      <c r="J3" s="33" t="s">
        <v>556</v>
      </c>
      <c r="K3" s="33" t="s">
        <v>556</v>
      </c>
      <c r="L3" s="33" t="s">
        <v>556</v>
      </c>
      <c r="M3" s="33" t="s">
        <v>556</v>
      </c>
      <c r="N3" s="34" t="s">
        <v>556</v>
      </c>
    </row>
    <row r="5" spans="1:14" ht="32.1" customHeight="1">
      <c r="A5" s="1" t="s">
        <v>354</v>
      </c>
      <c r="B5" s="1" t="s">
        <v>355</v>
      </c>
      <c r="C5" s="1" t="s">
        <v>61</v>
      </c>
      <c r="D5" s="1" t="s">
        <v>557</v>
      </c>
      <c r="E5" s="1" t="s">
        <v>64</v>
      </c>
      <c r="F5" s="1" t="s">
        <v>65</v>
      </c>
      <c r="G5" s="1" t="s">
        <v>558</v>
      </c>
      <c r="H5" s="1" t="s">
        <v>559</v>
      </c>
      <c r="I5" s="1" t="s">
        <v>560</v>
      </c>
      <c r="J5" s="1" t="s">
        <v>561</v>
      </c>
      <c r="K5" s="1" t="s">
        <v>562</v>
      </c>
      <c r="L5" s="1" t="s">
        <v>563</v>
      </c>
      <c r="M5" s="1" t="s">
        <v>79</v>
      </c>
      <c r="N5" s="1" t="s">
        <v>7</v>
      </c>
    </row>
    <row r="6" spans="1:14" ht="32.1" customHeight="1">
      <c r="A6" s="2" t="s">
        <v>564</v>
      </c>
      <c r="B6" s="2" t="s">
        <v>565</v>
      </c>
      <c r="C6" s="2" t="s">
        <v>84</v>
      </c>
      <c r="D6" s="2" t="s">
        <v>85</v>
      </c>
      <c r="E6" s="2" t="s">
        <v>86</v>
      </c>
      <c r="F6" s="2" t="s">
        <v>113</v>
      </c>
      <c r="G6" s="2" t="s">
        <v>566</v>
      </c>
      <c r="H6" s="2">
        <v>1</v>
      </c>
      <c r="I6" s="2" t="s">
        <v>501</v>
      </c>
      <c r="J6" s="2" t="s">
        <v>567</v>
      </c>
      <c r="K6" s="2" t="s">
        <v>568</v>
      </c>
      <c r="L6" s="2" t="s">
        <v>569</v>
      </c>
      <c r="M6" s="2" t="s">
        <v>570</v>
      </c>
      <c r="N6" s="2"/>
    </row>
    <row r="7" spans="1:14" ht="32.1" customHeight="1">
      <c r="A7" s="2" t="s">
        <v>571</v>
      </c>
      <c r="B7" s="2" t="s">
        <v>572</v>
      </c>
      <c r="C7" s="2" t="s">
        <v>84</v>
      </c>
      <c r="D7" s="2" t="s">
        <v>94</v>
      </c>
      <c r="E7" s="2" t="s">
        <v>86</v>
      </c>
      <c r="F7" s="2" t="s">
        <v>113</v>
      </c>
      <c r="G7" s="2" t="s">
        <v>573</v>
      </c>
      <c r="H7" s="2">
        <v>1</v>
      </c>
      <c r="I7" s="2" t="s">
        <v>501</v>
      </c>
      <c r="J7" s="2" t="s">
        <v>567</v>
      </c>
      <c r="K7" s="2" t="s">
        <v>568</v>
      </c>
      <c r="L7" s="2" t="s">
        <v>569</v>
      </c>
      <c r="M7" s="2" t="s">
        <v>574</v>
      </c>
      <c r="N7" s="2"/>
    </row>
    <row r="8" spans="1:14" ht="32.1" customHeight="1">
      <c r="A8" s="2" t="s">
        <v>575</v>
      </c>
      <c r="B8" s="2" t="s">
        <v>576</v>
      </c>
      <c r="C8" s="2" t="s">
        <v>84</v>
      </c>
      <c r="D8" s="2" t="s">
        <v>577</v>
      </c>
      <c r="E8" s="2" t="s">
        <v>86</v>
      </c>
      <c r="F8" s="2" t="s">
        <v>113</v>
      </c>
      <c r="G8" s="2" t="s">
        <v>578</v>
      </c>
      <c r="H8" s="2">
        <v>1</v>
      </c>
      <c r="I8" s="2" t="s">
        <v>501</v>
      </c>
      <c r="J8" s="2" t="s">
        <v>567</v>
      </c>
      <c r="K8" s="2" t="s">
        <v>568</v>
      </c>
      <c r="L8" s="2" t="s">
        <v>579</v>
      </c>
      <c r="M8" s="2" t="s">
        <v>580</v>
      </c>
      <c r="N8" s="2"/>
    </row>
    <row r="9" spans="1:14" ht="32.1" customHeight="1">
      <c r="A9" s="2" t="s">
        <v>581</v>
      </c>
      <c r="B9" s="2" t="s">
        <v>582</v>
      </c>
      <c r="C9" s="2" t="s">
        <v>84</v>
      </c>
      <c r="D9" s="2" t="s">
        <v>583</v>
      </c>
      <c r="E9" s="2" t="s">
        <v>86</v>
      </c>
      <c r="F9" s="2" t="s">
        <v>113</v>
      </c>
      <c r="G9" s="2" t="s">
        <v>584</v>
      </c>
      <c r="H9" s="2">
        <v>1</v>
      </c>
      <c r="I9" s="2" t="s">
        <v>501</v>
      </c>
      <c r="J9" s="2" t="s">
        <v>567</v>
      </c>
      <c r="K9" s="2" t="s">
        <v>568</v>
      </c>
      <c r="L9" s="2" t="s">
        <v>585</v>
      </c>
      <c r="M9" s="2" t="s">
        <v>586</v>
      </c>
      <c r="N9" s="2"/>
    </row>
    <row r="10" spans="1:14" ht="32.1" customHeight="1">
      <c r="A10" s="2" t="s">
        <v>587</v>
      </c>
      <c r="B10" s="2" t="s">
        <v>588</v>
      </c>
      <c r="C10" s="2" t="s">
        <v>84</v>
      </c>
      <c r="D10" s="2" t="s">
        <v>589</v>
      </c>
      <c r="E10" s="2" t="s">
        <v>86</v>
      </c>
      <c r="F10" s="2" t="s">
        <v>113</v>
      </c>
      <c r="G10" s="2" t="s">
        <v>590</v>
      </c>
      <c r="H10" s="2">
        <v>2</v>
      </c>
      <c r="I10" s="2" t="s">
        <v>501</v>
      </c>
      <c r="J10" s="2" t="s">
        <v>567</v>
      </c>
      <c r="K10" s="2" t="s">
        <v>568</v>
      </c>
      <c r="L10" s="2" t="s">
        <v>591</v>
      </c>
      <c r="M10" s="2" t="s">
        <v>592</v>
      </c>
      <c r="N10" s="2"/>
    </row>
    <row r="11" spans="1:14" ht="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32.1" customHeight="1">
      <c r="A12" s="8" t="s">
        <v>354</v>
      </c>
      <c r="B12" s="8" t="s">
        <v>593</v>
      </c>
      <c r="C12" s="8" t="s">
        <v>8</v>
      </c>
      <c r="D12" s="8" t="s">
        <v>60</v>
      </c>
      <c r="E12" s="8" t="s">
        <v>62</v>
      </c>
      <c r="F12" s="8" t="s">
        <v>65</v>
      </c>
      <c r="G12" s="8" t="s">
        <v>594</v>
      </c>
      <c r="H12" s="8" t="s">
        <v>595</v>
      </c>
      <c r="I12" s="8" t="s">
        <v>596</v>
      </c>
      <c r="J12" s="8" t="s">
        <v>597</v>
      </c>
      <c r="K12" s="8" t="s">
        <v>598</v>
      </c>
      <c r="L12" s="8" t="s">
        <v>599</v>
      </c>
      <c r="M12" s="8" t="s">
        <v>600</v>
      </c>
      <c r="N12" s="8" t="s">
        <v>80</v>
      </c>
    </row>
    <row r="13" spans="1:14" ht="32.1" customHeight="1">
      <c r="A13" s="2" t="s">
        <v>564</v>
      </c>
      <c r="B13" s="2" t="s">
        <v>601</v>
      </c>
      <c r="C13" s="2" t="s">
        <v>141</v>
      </c>
      <c r="D13" s="2"/>
      <c r="E13" s="2" t="s">
        <v>85</v>
      </c>
      <c r="F13" s="2" t="s">
        <v>113</v>
      </c>
      <c r="G13" s="2">
        <v>45</v>
      </c>
      <c r="H13" s="2">
        <v>0</v>
      </c>
      <c r="I13" s="2">
        <v>1</v>
      </c>
      <c r="J13" s="2" t="s">
        <v>501</v>
      </c>
      <c r="K13" s="2"/>
      <c r="L13" s="2" t="s">
        <v>567</v>
      </c>
      <c r="M13" s="2" t="s">
        <v>602</v>
      </c>
      <c r="N13" s="2" t="s">
        <v>603</v>
      </c>
    </row>
    <row r="14" spans="1:14" ht="32.1" customHeight="1">
      <c r="A14" s="2" t="s">
        <v>564</v>
      </c>
      <c r="B14" s="2" t="s">
        <v>604</v>
      </c>
      <c r="C14" s="2" t="s">
        <v>146</v>
      </c>
      <c r="D14" s="2"/>
      <c r="E14" s="2" t="s">
        <v>85</v>
      </c>
      <c r="F14" s="2" t="s">
        <v>113</v>
      </c>
      <c r="G14" s="2">
        <v>35</v>
      </c>
      <c r="H14" s="2">
        <v>0</v>
      </c>
      <c r="I14" s="2">
        <v>1</v>
      </c>
      <c r="J14" s="2" t="s">
        <v>501</v>
      </c>
      <c r="K14" s="2"/>
      <c r="L14" s="2" t="s">
        <v>567</v>
      </c>
      <c r="M14" s="2" t="s">
        <v>605</v>
      </c>
      <c r="N14" s="2" t="s">
        <v>606</v>
      </c>
    </row>
    <row r="15" spans="1:14" ht="32.1" customHeight="1">
      <c r="A15" s="2" t="s">
        <v>564</v>
      </c>
      <c r="B15" s="2" t="s">
        <v>607</v>
      </c>
      <c r="C15" s="2" t="s">
        <v>149</v>
      </c>
      <c r="D15" s="2"/>
      <c r="E15" s="2" t="s">
        <v>85</v>
      </c>
      <c r="F15" s="2" t="s">
        <v>113</v>
      </c>
      <c r="G15" s="2">
        <v>15</v>
      </c>
      <c r="H15" s="2">
        <v>0</v>
      </c>
      <c r="I15" s="2">
        <v>1</v>
      </c>
      <c r="J15" s="2" t="s">
        <v>501</v>
      </c>
      <c r="K15" s="2"/>
      <c r="L15" s="2" t="s">
        <v>567</v>
      </c>
      <c r="M15" s="2" t="s">
        <v>608</v>
      </c>
      <c r="N15" s="2" t="s">
        <v>609</v>
      </c>
    </row>
    <row r="16" spans="1:14" ht="32.1" customHeight="1">
      <c r="A16" s="2" t="s">
        <v>564</v>
      </c>
      <c r="B16" s="2" t="s">
        <v>610</v>
      </c>
      <c r="C16" s="2" t="s">
        <v>152</v>
      </c>
      <c r="D16" s="2"/>
      <c r="E16" s="2" t="s">
        <v>85</v>
      </c>
      <c r="F16" s="2" t="s">
        <v>153</v>
      </c>
      <c r="G16" s="2">
        <v>5</v>
      </c>
      <c r="H16" s="2">
        <v>0</v>
      </c>
      <c r="I16" s="2">
        <v>1</v>
      </c>
      <c r="J16" s="2" t="s">
        <v>443</v>
      </c>
      <c r="K16" s="2" t="s">
        <v>611</v>
      </c>
      <c r="L16" s="2" t="s">
        <v>567</v>
      </c>
      <c r="M16" s="2" t="s">
        <v>612</v>
      </c>
      <c r="N16" s="2" t="s">
        <v>613</v>
      </c>
    </row>
    <row r="17" spans="1:14" ht="32.1" customHeight="1">
      <c r="A17" s="2" t="s">
        <v>571</v>
      </c>
      <c r="B17" s="2" t="s">
        <v>614</v>
      </c>
      <c r="C17" s="2" t="s">
        <v>157</v>
      </c>
      <c r="D17" s="2"/>
      <c r="E17" s="2" t="s">
        <v>94</v>
      </c>
      <c r="F17" s="2" t="s">
        <v>113</v>
      </c>
      <c r="G17" s="2">
        <v>55</v>
      </c>
      <c r="H17" s="2">
        <v>0</v>
      </c>
      <c r="I17" s="2">
        <v>1</v>
      </c>
      <c r="J17" s="2" t="s">
        <v>501</v>
      </c>
      <c r="K17" s="2"/>
      <c r="L17" s="2" t="s">
        <v>567</v>
      </c>
      <c r="M17" s="2" t="s">
        <v>615</v>
      </c>
      <c r="N17" s="2" t="s">
        <v>616</v>
      </c>
    </row>
    <row r="18" spans="1:14" ht="32.1" customHeight="1">
      <c r="A18" s="2" t="s">
        <v>571</v>
      </c>
      <c r="B18" s="2" t="s">
        <v>617</v>
      </c>
      <c r="C18" s="2" t="s">
        <v>162</v>
      </c>
      <c r="D18" s="2"/>
      <c r="E18" s="2" t="s">
        <v>94</v>
      </c>
      <c r="F18" s="2" t="s">
        <v>113</v>
      </c>
      <c r="G18" s="2">
        <v>35</v>
      </c>
      <c r="H18" s="2">
        <v>0</v>
      </c>
      <c r="I18" s="2">
        <v>1</v>
      </c>
      <c r="J18" s="2" t="s">
        <v>501</v>
      </c>
      <c r="K18" s="2"/>
      <c r="L18" s="2" t="s">
        <v>567</v>
      </c>
      <c r="M18" s="2" t="s">
        <v>618</v>
      </c>
      <c r="N18" s="2" t="s">
        <v>619</v>
      </c>
    </row>
    <row r="19" spans="1:14" ht="32.1" customHeight="1">
      <c r="A19" s="2" t="s">
        <v>571</v>
      </c>
      <c r="B19" s="2" t="s">
        <v>620</v>
      </c>
      <c r="C19" s="2" t="s">
        <v>164</v>
      </c>
      <c r="D19" s="2"/>
      <c r="E19" s="2" t="s">
        <v>94</v>
      </c>
      <c r="F19" s="2" t="s">
        <v>153</v>
      </c>
      <c r="G19" s="2">
        <v>10</v>
      </c>
      <c r="H19" s="2">
        <v>0</v>
      </c>
      <c r="I19" s="2">
        <v>1</v>
      </c>
      <c r="J19" s="2" t="s">
        <v>443</v>
      </c>
      <c r="K19" s="2" t="s">
        <v>353</v>
      </c>
      <c r="L19" s="2" t="s">
        <v>567</v>
      </c>
      <c r="M19" s="2" t="s">
        <v>621</v>
      </c>
      <c r="N19" s="2" t="s">
        <v>622</v>
      </c>
    </row>
    <row r="20" spans="1:14" ht="32.1" customHeight="1">
      <c r="A20" s="2" t="s">
        <v>575</v>
      </c>
      <c r="B20" s="2" t="s">
        <v>623</v>
      </c>
      <c r="C20" s="2" t="s">
        <v>168</v>
      </c>
      <c r="D20" s="2"/>
      <c r="E20" s="2" t="s">
        <v>105</v>
      </c>
      <c r="F20" s="2" t="s">
        <v>113</v>
      </c>
      <c r="G20" s="2">
        <v>45</v>
      </c>
      <c r="H20" s="2">
        <v>0</v>
      </c>
      <c r="I20" s="2">
        <v>1</v>
      </c>
      <c r="J20" s="2" t="s">
        <v>501</v>
      </c>
      <c r="K20" s="2"/>
      <c r="L20" s="2" t="s">
        <v>567</v>
      </c>
      <c r="M20" s="2" t="s">
        <v>624</v>
      </c>
      <c r="N20" s="2" t="s">
        <v>625</v>
      </c>
    </row>
    <row r="21" spans="1:14" ht="32.1" customHeight="1">
      <c r="A21" s="2" t="s">
        <v>575</v>
      </c>
      <c r="B21" s="2" t="s">
        <v>626</v>
      </c>
      <c r="C21" s="2" t="s">
        <v>176</v>
      </c>
      <c r="D21" s="2"/>
      <c r="E21" s="2" t="s">
        <v>105</v>
      </c>
      <c r="F21" s="2" t="s">
        <v>113</v>
      </c>
      <c r="G21" s="2">
        <v>35</v>
      </c>
      <c r="H21" s="2">
        <v>0</v>
      </c>
      <c r="I21" s="2">
        <v>1</v>
      </c>
      <c r="J21" s="2" t="s">
        <v>501</v>
      </c>
      <c r="K21" s="2"/>
      <c r="L21" s="2" t="s">
        <v>567</v>
      </c>
      <c r="M21" s="2" t="s">
        <v>627</v>
      </c>
      <c r="N21" s="2" t="s">
        <v>628</v>
      </c>
    </row>
    <row r="22" spans="1:14" ht="32.1" customHeight="1">
      <c r="A22" s="2" t="s">
        <v>575</v>
      </c>
      <c r="B22" s="2" t="s">
        <v>629</v>
      </c>
      <c r="C22" s="2" t="s">
        <v>179</v>
      </c>
      <c r="D22" s="2"/>
      <c r="E22" s="2" t="s">
        <v>105</v>
      </c>
      <c r="F22" s="2" t="s">
        <v>153</v>
      </c>
      <c r="G22" s="2">
        <v>20</v>
      </c>
      <c r="H22" s="2">
        <v>0</v>
      </c>
      <c r="I22" s="2">
        <v>1</v>
      </c>
      <c r="J22" s="2" t="s">
        <v>501</v>
      </c>
      <c r="K22" s="2"/>
      <c r="L22" s="2" t="s">
        <v>567</v>
      </c>
      <c r="M22" s="2" t="s">
        <v>630</v>
      </c>
      <c r="N22" s="2" t="s">
        <v>631</v>
      </c>
    </row>
    <row r="23" spans="1:14" ht="32.1" customHeight="1">
      <c r="A23" s="2" t="s">
        <v>581</v>
      </c>
      <c r="B23" s="2" t="s">
        <v>632</v>
      </c>
      <c r="C23" s="2" t="s">
        <v>182</v>
      </c>
      <c r="D23" s="2"/>
      <c r="E23" s="2" t="s">
        <v>100</v>
      </c>
      <c r="F23" s="2" t="s">
        <v>113</v>
      </c>
      <c r="G23" s="2">
        <v>70</v>
      </c>
      <c r="H23" s="2">
        <v>0</v>
      </c>
      <c r="I23" s="2">
        <v>1</v>
      </c>
      <c r="J23" s="2" t="s">
        <v>501</v>
      </c>
      <c r="K23" s="2"/>
      <c r="L23" s="2" t="s">
        <v>567</v>
      </c>
      <c r="M23" s="2" t="s">
        <v>633</v>
      </c>
      <c r="N23" s="2" t="s">
        <v>634</v>
      </c>
    </row>
    <row r="24" spans="1:14" ht="32.1" customHeight="1">
      <c r="A24" s="2" t="s">
        <v>581</v>
      </c>
      <c r="B24" s="2" t="s">
        <v>635</v>
      </c>
      <c r="C24" s="2" t="s">
        <v>187</v>
      </c>
      <c r="D24" s="2"/>
      <c r="E24" s="2" t="s">
        <v>100</v>
      </c>
      <c r="F24" s="2" t="s">
        <v>153</v>
      </c>
      <c r="G24" s="2">
        <v>30</v>
      </c>
      <c r="H24" s="2">
        <v>0</v>
      </c>
      <c r="I24" s="2">
        <v>1</v>
      </c>
      <c r="J24" s="2" t="s">
        <v>501</v>
      </c>
      <c r="K24" s="2"/>
      <c r="L24" s="2" t="s">
        <v>567</v>
      </c>
      <c r="M24" s="2" t="s">
        <v>636</v>
      </c>
      <c r="N24" s="2" t="s">
        <v>637</v>
      </c>
    </row>
    <row r="25" spans="1:14" ht="32.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2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2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2.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2.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2.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2.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2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2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2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2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32.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32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32.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32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32.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32.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32.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32.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32.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32.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32.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32.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32.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32.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32.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32.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32.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2.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2.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2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2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2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2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2.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2.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2.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2.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2.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2.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2.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2.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2.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2.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2.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2.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2.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2.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2.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2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2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2.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2.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2.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2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2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2" spans="1:14" ht="32.1" customHeight="1">
      <c r="A82" s="29" t="s">
        <v>638</v>
      </c>
      <c r="B82" s="30" t="s">
        <v>638</v>
      </c>
      <c r="C82" s="30" t="s">
        <v>638</v>
      </c>
      <c r="D82" s="30" t="s">
        <v>638</v>
      </c>
      <c r="E82" s="30" t="s">
        <v>638</v>
      </c>
      <c r="F82" s="30" t="s">
        <v>638</v>
      </c>
      <c r="G82" s="30" t="s">
        <v>638</v>
      </c>
      <c r="H82" s="30" t="s">
        <v>638</v>
      </c>
      <c r="I82" s="30" t="s">
        <v>638</v>
      </c>
      <c r="J82" s="30" t="s">
        <v>638</v>
      </c>
      <c r="K82" s="30" t="s">
        <v>638</v>
      </c>
      <c r="L82" s="30" t="s">
        <v>638</v>
      </c>
      <c r="M82" s="30" t="s">
        <v>638</v>
      </c>
      <c r="N82" s="31" t="s">
        <v>638</v>
      </c>
    </row>
    <row r="83" spans="1:14" ht="32.1" customHeight="1">
      <c r="A83" s="35" t="s">
        <v>638</v>
      </c>
      <c r="B83" s="36" t="s">
        <v>638</v>
      </c>
      <c r="C83" s="36" t="s">
        <v>638</v>
      </c>
      <c r="D83" s="36" t="s">
        <v>638</v>
      </c>
      <c r="E83" s="36" t="s">
        <v>638</v>
      </c>
      <c r="F83" s="36" t="s">
        <v>638</v>
      </c>
      <c r="G83" s="36" t="s">
        <v>638</v>
      </c>
      <c r="H83" s="36" t="s">
        <v>638</v>
      </c>
      <c r="I83" s="36" t="s">
        <v>638</v>
      </c>
      <c r="J83" s="36" t="s">
        <v>638</v>
      </c>
      <c r="K83" s="36" t="s">
        <v>638</v>
      </c>
      <c r="L83" s="36" t="s">
        <v>638</v>
      </c>
      <c r="M83" s="36" t="s">
        <v>638</v>
      </c>
      <c r="N83" s="37" t="s">
        <v>638</v>
      </c>
    </row>
    <row r="84" spans="1:14" ht="32.1" customHeight="1">
      <c r="A84" s="32" t="s">
        <v>638</v>
      </c>
      <c r="B84" s="33" t="s">
        <v>638</v>
      </c>
      <c r="C84" s="33" t="s">
        <v>638</v>
      </c>
      <c r="D84" s="33" t="s">
        <v>638</v>
      </c>
      <c r="E84" s="33" t="s">
        <v>638</v>
      </c>
      <c r="F84" s="33" t="s">
        <v>638</v>
      </c>
      <c r="G84" s="33" t="s">
        <v>638</v>
      </c>
      <c r="H84" s="33" t="s">
        <v>638</v>
      </c>
      <c r="I84" s="33" t="s">
        <v>638</v>
      </c>
      <c r="J84" s="33" t="s">
        <v>638</v>
      </c>
      <c r="K84" s="33" t="s">
        <v>638</v>
      </c>
      <c r="L84" s="33" t="s">
        <v>638</v>
      </c>
      <c r="M84" s="33" t="s">
        <v>638</v>
      </c>
      <c r="N84" s="34" t="s">
        <v>638</v>
      </c>
    </row>
  </sheetData>
  <mergeCells count="3">
    <mergeCell ref="A1:N1"/>
    <mergeCell ref="A2:N3"/>
    <mergeCell ref="A82:N84"/>
  </mergeCells>
  <phoneticPr fontId="6" type="noConversion"/>
  <dataValidations count="7">
    <dataValidation type="list" sqref="C6:C10" xr:uid="{00000000-0002-0000-0800-000000000000}">
      <formula1>"Draft,Review,Ready,Tested,Implemented,Hold"</formula1>
    </dataValidation>
    <dataValidation type="list" sqref="D6:D10" xr:uid="{00000000-0002-0000-0800-000001000000}">
      <formula1>"Food,Resource,Tool,Weapon,Tech,Clue,Mixed,Zombie,Other"</formula1>
    </dataValidation>
    <dataValidation type="list" sqref="E6:E10" xr:uid="{00000000-0002-0000-0800-000002000000}">
      <formula1>"Start,Early,Mid,Late,Boss/Test"</formula1>
    </dataValidation>
    <dataValidation type="list" sqref="F6:F10 F13:F80" xr:uid="{00000000-0002-0000-0800-000003000000}">
      <formula1>"Default,Common,Uncommon,Rare,Very Rare"</formula1>
    </dataValidation>
    <dataValidation type="list" sqref="I6:I10 J13:J80" xr:uid="{00000000-0002-0000-0800-000004000000}">
      <formula1>"Yes,No"</formula1>
    </dataValidation>
    <dataValidation type="list" sqref="J6:K10 L13:L80" xr:uid="{00000000-0002-0000-0800-000005000000}">
      <formula1>"CardInventory,DiscardPile,Exhausted,None"</formula1>
    </dataValidation>
    <dataValidation type="list" sqref="E13:E80" xr:uid="{00000000-0002-0000-0800-000006000000}">
      <formula1>"Food,Resource,Combat,Explore,Build,Craft,Planning,Zombie,Other"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How to Discuss</vt:lpstr>
      <vt:lpstr>Card Design</vt:lpstr>
      <vt:lpstr>Event Schedule</vt:lpstr>
      <vt:lpstr>Region Design</vt:lpstr>
      <vt:lpstr>Region CardPack Design</vt:lpstr>
      <vt:lpstr>Balance Baseline</vt:lpstr>
      <vt:lpstr>Effect Dictionary</vt:lpstr>
      <vt:lpstr>Sources and Packs</vt:lpstr>
      <vt:lpstr>Card Packs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water0212 water0212</dc:creator>
  <cp:lastModifiedBy>張肇豐</cp:lastModifiedBy>
  <dcterms:modified xsi:type="dcterms:W3CDTF">2026-07-31T09:05:53Z</dcterms:modified>
</cp:coreProperties>
</file>