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ter\Desktop\GameDev\Zombie_cardSurvive\Assets\outputs\card_design_template\"/>
    </mc:Choice>
  </mc:AlternateContent>
  <xr:revisionPtr revIDLastSave="0" documentId="13_ncr:1_{B7D22756-5E93-47D7-A5A7-E368F02490C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w to Discuss" sheetId="1" r:id="rId1"/>
    <sheet name="Card Design" sheetId="2" r:id="rId2"/>
    <sheet name="Event Schedule" sheetId="7" r:id="rId3"/>
    <sheet name="Region Design" sheetId="8" r:id="rId4"/>
    <sheet name="Region CardPack Design" sheetId="10" r:id="rId5"/>
    <sheet name="Balance Baseline" sheetId="3" r:id="rId6"/>
    <sheet name="Effect Dictionary" sheetId="4" r:id="rId7"/>
    <sheet name="Sources and Packs" sheetId="5" r:id="rId8"/>
    <sheet name="Card Pack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5" i="2" l="1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</calcChain>
</file>

<file path=xl/sharedStrings.xml><?xml version="1.0" encoding="utf-8"?>
<sst xmlns="http://schemas.openxmlformats.org/spreadsheetml/2006/main" count="1239" uniqueCount="666">
  <si>
    <t>Zombie Card Survive - 第一版卡牌設計討論基板</t>
  </si>
  <si>
    <t>你可以直接在 Discord / Codex 用這個格式丟給我，或填 Card Design 表後叫我一起檢查。</t>
  </si>
  <si>
    <t>聊天討論格式</t>
  </si>
  <si>
    <t>第一批卡牌建議數量</t>
  </si>
  <si>
    <t>建議張數</t>
  </si>
  <si>
    <t>用途</t>
  </si>
  <si>
    <t>目前優先度</t>
  </si>
  <si>
    <t>備註</t>
  </si>
  <si>
    <t>卡名</t>
  </si>
  <si>
    <t>例如：烹飪</t>
  </si>
  <si>
    <t>食物卡</t>
  </si>
  <si>
    <t>4-6</t>
  </si>
  <si>
    <t>處理輪末消耗與成本</t>
  </si>
  <si>
    <t>高</t>
  </si>
  <si>
    <t>先做標準卡與一張轉換卡</t>
  </si>
  <si>
    <t>類型</t>
  </si>
  <si>
    <t>Food / Resource / Combat / Explore / Build / Craft / Planning / Zombie</t>
  </si>
  <si>
    <t>資源卡</t>
  </si>
  <si>
    <t>推建築、製作與事件選項</t>
  </si>
  <si>
    <t>避免只有單純 +2 資源</t>
  </si>
  <si>
    <t>定位</t>
  </si>
  <si>
    <t>這張卡希望玩家解決什麼問題？</t>
  </si>
  <si>
    <t>戰鬥卡</t>
  </si>
  <si>
    <t>3-4</t>
  </si>
  <si>
    <t>處理殭屍威脅</t>
  </si>
  <si>
    <t>防禦工事可強化核心戰鬥卡</t>
  </si>
  <si>
    <t>成本</t>
  </si>
  <si>
    <t>能量、食物、資源、使用次數</t>
  </si>
  <si>
    <t>探索卡</t>
  </si>
  <si>
    <t>1-2</t>
  </si>
  <si>
    <t>取得卡包與承擔風險</t>
  </si>
  <si>
    <t>基礎探索卡先可製作</t>
  </si>
  <si>
    <t>效果</t>
  </si>
  <si>
    <t>請盡量寫成數值，例如：食物 -2，臨時食物 +6</t>
  </si>
  <si>
    <t>規劃/替換卡</t>
  </si>
  <si>
    <t>調整正規牌組</t>
  </si>
  <si>
    <t>中</t>
  </si>
  <si>
    <t>情報中心相關</t>
  </si>
  <si>
    <t>來源</t>
  </si>
  <si>
    <t>起始牌組、建築製作、事件、探索卡包</t>
  </si>
  <si>
    <t>製作產物卡</t>
  </si>
  <si>
    <t>2-3</t>
  </si>
  <si>
    <t>建築產出的功能卡</t>
  </si>
  <si>
    <t>例如烹飪</t>
  </si>
  <si>
    <t>玩家選擇</t>
  </si>
  <si>
    <t>玩家打出這張卡時應該在取捨什麼？</t>
  </si>
  <si>
    <t>殭屍卡</t>
  </si>
  <si>
    <t>附加壓力</t>
  </si>
  <si>
    <t>先測自動觸發與補抽</t>
  </si>
  <si>
    <t>擔心問題</t>
  </si>
  <si>
    <t>太強、太弱、太萬用、太難懂、和其他卡重複</t>
  </si>
  <si>
    <t>事件獎勵卡</t>
  </si>
  <si>
    <t>2-4</t>
  </si>
  <si>
    <t>事件或卡包特殊獎勵</t>
  </si>
  <si>
    <t>低</t>
  </si>
  <si>
    <t>等核心卡穩定再擴充</t>
  </si>
  <si>
    <t>任何設計直覺都可以放這裡</t>
  </si>
  <si>
    <t>卡牌設計表：先填意圖，再填數值，最後再做平衡</t>
  </si>
  <si>
    <t>黃色欄位建議先填；數值欄位可空白。Rough Score 是粗略抓異常用，不是最終平衡判斷。</t>
  </si>
  <si>
    <t>Card ID</t>
  </si>
  <si>
    <t>狀態</t>
  </si>
  <si>
    <t>卡牌類型</t>
  </si>
  <si>
    <t>正規欄位</t>
  </si>
  <si>
    <t>階段</t>
  </si>
  <si>
    <t>稀有度</t>
  </si>
  <si>
    <t>取得來源</t>
  </si>
  <si>
    <t>能量</t>
  </si>
  <si>
    <t>使用次數</t>
  </si>
  <si>
    <t>食物成本</t>
  </si>
  <si>
    <t>資源成本</t>
  </si>
  <si>
    <t>獲得食物</t>
  </si>
  <si>
    <t>獲得臨時食物</t>
  </si>
  <si>
    <t>獲得資源</t>
  </si>
  <si>
    <t>獲得戰鬥力</t>
  </si>
  <si>
    <t>士氣變化</t>
  </si>
  <si>
    <t>替換機會</t>
  </si>
  <si>
    <t>特殊效果</t>
  </si>
  <si>
    <t>風險/副作用</t>
  </si>
  <si>
    <t>設計意圖</t>
  </si>
  <si>
    <t>測試重點</t>
  </si>
  <si>
    <t>Rough Score</t>
  </si>
  <si>
    <t>CARD-FOOD-001</t>
  </si>
  <si>
    <t>(尋找莓果)預設食物</t>
  </si>
  <si>
    <t>Draft</t>
  </si>
  <si>
    <t>Food</t>
  </si>
  <si>
    <t>Early</t>
  </si>
  <si>
    <t>Default</t>
  </si>
  <si>
    <t>Default Refill</t>
  </si>
  <si>
    <t>臨時食物 +2</t>
  </si>
  <si>
    <t>最基礎的食物牌，1能量適合在玩家意圖中穿插打出，功能極弱，無法累計，但可維持每天運轉</t>
  </si>
  <si>
    <t>是否可以在前期(1~10天內)充當每天食物獲取的卡牌</t>
  </si>
  <si>
    <t>CARD-RES-001</t>
  </si>
  <si>
    <t>(物盡其用)預設零件</t>
  </si>
  <si>
    <t>Resource</t>
  </si>
  <si>
    <t>資源 +1</t>
  </si>
  <si>
    <t>基礎資源牌，支撐建築與製作。目的為前期難打出但咬緊牙關還是可以打出來</t>
  </si>
  <si>
    <t>資源累積速度是否讓工作台太快完成。作為預設牌不能效率太高，獲取資源之資源應大多數在卡包中發掘</t>
  </si>
  <si>
    <t>CARD-COM-001</t>
  </si>
  <si>
    <t>(警覺)預設戰鬥</t>
  </si>
  <si>
    <t>Combat</t>
  </si>
  <si>
    <t>戰鬥力 +2</t>
  </si>
  <si>
    <t>防禦工事給的核心戰鬥卡。</t>
  </si>
  <si>
    <t>殭屍壓力是否需要 1-2 張戰鬥卡才能處理。</t>
  </si>
  <si>
    <t>(無所事事)預設無限制</t>
  </si>
  <si>
    <t>Other</t>
  </si>
  <si>
    <t>Unrestricted</t>
  </si>
  <si>
    <t>無法打出</t>
  </si>
  <si>
    <t>填充無限制欄位</t>
  </si>
  <si>
    <t>無</t>
  </si>
  <si>
    <t>CARD-EXP-001</t>
  </si>
  <si>
    <t>基礎探索</t>
  </si>
  <si>
    <t>Explore</t>
  </si>
  <si>
    <t>Common</t>
  </si>
  <si>
    <t>Building Craft</t>
  </si>
  <si>
    <t>開啟初級地區三選一，使用後耗盡。</t>
  </si>
  <si>
    <t>可能帶入殭屍卡。</t>
  </si>
  <si>
    <t>取得卡包，但不能免費無限使用。</t>
  </si>
  <si>
    <t>探索收益是否值得花一張牌與製作成本。</t>
  </si>
  <si>
    <t>CARD-CRAFT-001</t>
  </si>
  <si>
    <t>烹飪</t>
  </si>
  <si>
    <t>Craft</t>
  </si>
  <si>
    <t>食物 -2，臨時食物 +6，可使用 3 次。</t>
  </si>
  <si>
    <t>需要先有永久食物。</t>
  </si>
  <si>
    <t>把永久食物轉成輪末專用緩衝。</t>
  </si>
  <si>
    <t>兩卡解決一輪食物壓力是否太強。</t>
  </si>
  <si>
    <t>CARD-PLAN-001</t>
  </si>
  <si>
    <t>調度</t>
  </si>
  <si>
    <t>Planning</t>
  </si>
  <si>
    <t>獲得 1 次卡牌替換機會。</t>
  </si>
  <si>
    <t>情報中心給玩家整理牌組的工具。</t>
  </si>
  <si>
    <t>替換機會是否太容易洗掉弱牌。</t>
  </si>
  <si>
    <t>CARD-ZOM-001</t>
  </si>
  <si>
    <t>徘徊殭屍</t>
  </si>
  <si>
    <t>Zombie</t>
  </si>
  <si>
    <t>Additive</t>
  </si>
  <si>
    <t>Exploration Pack</t>
  </si>
  <si>
    <t>抽到時自動生成殭屍威脅並補抽。</t>
  </si>
  <si>
    <t>輪末未清會扣士氣。</t>
  </si>
  <si>
    <t>讓探索與事件帶來非正規牌組壓力。</t>
  </si>
  <si>
    <t>附加卡是否不會形成第 4 回合。</t>
  </si>
  <si>
    <t>零食</t>
  </si>
  <si>
    <t>Small Food Pack</t>
  </si>
  <si>
    <t>食物 +2</t>
  </si>
  <si>
    <t>標準的獲取食物</t>
  </si>
  <si>
    <t>是否符合1~20天的需求</t>
  </si>
  <si>
    <t>罐頭</t>
  </si>
  <si>
    <t>食物+3</t>
  </si>
  <si>
    <t>比標準-1的食物獲取，但可使用次數高</t>
  </si>
  <si>
    <t>飲料</t>
  </si>
  <si>
    <t>獲取士氣+2</t>
  </si>
  <si>
    <t>比較標準稀有一點的食物</t>
  </si>
  <si>
    <t>貨架搜刮</t>
  </si>
  <si>
    <t>Rare</t>
  </si>
  <si>
    <t>獲取食物+6</t>
  </si>
  <si>
    <t>較高稀有度的食物</t>
  </si>
  <si>
    <t>稀有度較高，超商、便利商店限定</t>
  </si>
  <si>
    <t>可用零件</t>
  </si>
  <si>
    <t>Small Resource Pack</t>
  </si>
  <si>
    <t>獲得資源+1</t>
  </si>
  <si>
    <t>標準的獲取資源</t>
  </si>
  <si>
    <t>是否符合1~20天的建築升級需求</t>
  </si>
  <si>
    <t>拆除家具</t>
  </si>
  <si>
    <t>單次高收益，一次只會出現一張</t>
  </si>
  <si>
    <t>上鎖倉庫間</t>
  </si>
  <si>
    <t>單次極高收益，但難以打出</t>
  </si>
  <si>
    <t>是否符合1~30天的建築升級需求</t>
  </si>
  <si>
    <t>稀有度較高，倉庫限定</t>
  </si>
  <si>
    <t>調度工具</t>
  </si>
  <si>
    <t>Small Tool Pack</t>
  </si>
  <si>
    <t>選擇一張抽牌堆中的牌加入手中，填入一張休憩至抽牌堆</t>
  </si>
  <si>
    <t>用於調度想在此回合打出的牌</t>
  </si>
  <si>
    <t>是否真正可以幫助到玩家</t>
  </si>
  <si>
    <t>休憩</t>
  </si>
  <si>
    <t>Effect Refill</t>
  </si>
  <si>
    <t>用於使抽取或檢索用途卡牌，使其卡組合規</t>
  </si>
  <si>
    <t>效率至上</t>
  </si>
  <si>
    <t>獲得1點能量</t>
  </si>
  <si>
    <t>用於使高費卡牌可在前期打出</t>
  </si>
  <si>
    <t>效率安排</t>
  </si>
  <si>
    <t>其他手牌的能量減少1</t>
  </si>
  <si>
    <t>使低費卡牌的效率提升</t>
  </si>
  <si>
    <t>撬棍</t>
  </si>
  <si>
    <t>Small Weapon Pack</t>
  </si>
  <si>
    <t>戰鬥力+2</t>
  </si>
  <si>
    <t>效率較高的戰鬥卡</t>
  </si>
  <si>
    <t>是否可提供足夠戰鬥值以應付1~20天的殭屍威脅</t>
  </si>
  <si>
    <t>消防斧</t>
  </si>
  <si>
    <t>戰鬥力+4</t>
  </si>
  <si>
    <t>效率極高的戰鬥卡</t>
  </si>
  <si>
    <t>是否可以提供臨時戰鬥值以應付臨時出現的屍潮</t>
  </si>
  <si>
    <t>目前 V1 數值基準與可調假設</t>
  </si>
  <si>
    <t>這張表不是絕對答案，是第一版卡牌設計時的尺。若你之後改規則，先改這裡再看 Card Design。</t>
  </si>
  <si>
    <t>項目</t>
  </si>
  <si>
    <t>目前基準</t>
  </si>
  <si>
    <t>設計意義</t>
  </si>
  <si>
    <t>卡牌效率參考</t>
  </si>
  <si>
    <t>建議基準</t>
  </si>
  <si>
    <t>說明</t>
  </si>
  <si>
    <t>短局天數</t>
  </si>
  <si>
    <t>第一版可測完整局長</t>
  </si>
  <si>
    <t>暫定方向</t>
  </si>
  <si>
    <t>標準食物卡</t>
  </si>
  <si>
    <t>2 食物 / 1 能量</t>
  </si>
  <si>
    <t>食物效率的最低尺</t>
  </si>
  <si>
    <t>正規牌組大小</t>
  </si>
  <si>
    <t>每輪 3 Turn，每 Turn 抽 5 張</t>
  </si>
  <si>
    <t>5n 合法性</t>
  </si>
  <si>
    <t>標準資源卡</t>
  </si>
  <si>
    <t>1 資源 / 1 能量</t>
  </si>
  <si>
    <t>建築與製作速度的最低尺</t>
  </si>
  <si>
    <t>每 Turn 抽牌</t>
  </si>
  <si>
    <t>手牌決策密度</t>
  </si>
  <si>
    <t>標準戰鬥卡</t>
  </si>
  <si>
    <t>2 戰鬥力 / 3 能量</t>
  </si>
  <si>
    <t>清殭屍壓力的最低尺</t>
  </si>
  <si>
    <t>每輪 Turn 數</t>
  </si>
  <si>
    <t>抽完整正規牌組</t>
  </si>
  <si>
    <t>烹飪卡</t>
  </si>
  <si>
    <t>-2 食物 +6 臨時食物 / 1 能量</t>
  </si>
  <si>
    <t>高效率但只能支付輪末固定消耗</t>
  </si>
  <si>
    <t>基礎能量</t>
  </si>
  <si>
    <t>1~3</t>
  </si>
  <si>
    <t>限制每 Turn 可打牌量</t>
  </si>
  <si>
    <t>目前想要讓情報中心當成能量的來源，每多1等+1上限</t>
  </si>
  <si>
    <t>基礎探索卡</t>
  </si>
  <si>
    <t>1 次使用，製作取得</t>
  </si>
  <si>
    <t>卡包來源，不應免費循環</t>
  </si>
  <si>
    <t>基礎輪末食物消耗</t>
  </si>
  <si>
    <t>預計1~10天(3) 11~20(5) 21~30(10)</t>
  </si>
  <si>
    <t>FoodPlanSystem 目前 baseRoundConsumption</t>
  </si>
  <si>
    <t>暫定，之後修改</t>
  </si>
  <si>
    <t>1 次替換約等於 2 Rough Score</t>
  </si>
  <si>
    <t>只是估算，用於抓異常</t>
  </si>
  <si>
    <t>緊縮食物修正</t>
  </si>
  <si>
    <t>少吃但降士氣</t>
  </si>
  <si>
    <t>每 5 士氣約等於 1 Rough Score</t>
  </si>
  <si>
    <t>暫定換算</t>
  </si>
  <si>
    <t>豐盛食物修正</t>
  </si>
  <si>
    <t>多吃但加士氣</t>
  </si>
  <si>
    <t>附加卡，不形成第 4 回合</t>
  </si>
  <si>
    <t>風險應壓迫玩家而非破壞牌組規則</t>
  </si>
  <si>
    <t>緊縮士氣修正</t>
  </si>
  <si>
    <t>食物換士氣</t>
  </si>
  <si>
    <t>豐盛士氣修正</t>
  </si>
  <si>
    <t>食物短缺士氣懲罰</t>
  </si>
  <si>
    <t>每缺 1 食物，士氣 -5</t>
  </si>
  <si>
    <t>預設士氣</t>
  </si>
  <si>
    <t>基地穩定點</t>
  </si>
  <si>
    <t>高於 70 會回落</t>
  </si>
  <si>
    <t>最大士氣</t>
  </si>
  <si>
    <t>士氣上限</t>
  </si>
  <si>
    <t>高士氣每輪衰減</t>
  </si>
  <si>
    <t>避免士氣永久堆疊</t>
  </si>
  <si>
    <t>效果字典：討論卡牌時盡量使用這些動詞與數值</t>
  </si>
  <si>
    <t>這張表幫你把卡牌效果寫得接近程式與 GDD 語言，之後比較容易實作。</t>
  </si>
  <si>
    <t>分類</t>
  </si>
  <si>
    <t>效果名稱</t>
  </si>
  <si>
    <t>建議寫法</t>
  </si>
  <si>
    <t>目前系統支援</t>
  </si>
  <si>
    <t>常見用途</t>
  </si>
  <si>
    <t>Value</t>
  </si>
  <si>
    <t>AddFood</t>
  </si>
  <si>
    <t>食物 +N</t>
  </si>
  <si>
    <t>Yes</t>
  </si>
  <si>
    <t>食物卡、事件獎勵</t>
  </si>
  <si>
    <t>永久食物</t>
  </si>
  <si>
    <t>SpendFood</t>
  </si>
  <si>
    <t>食物 -N</t>
  </si>
  <si>
    <t>卡牌成本、事件成本</t>
  </si>
  <si>
    <t>不吃臨時食物</t>
  </si>
  <si>
    <t>AddTemporaryFood</t>
  </si>
  <si>
    <t>臨時食物 +N</t>
  </si>
  <si>
    <t>烹飪、短期補給</t>
  </si>
  <si>
    <t>只抵銷輪末固定消耗</t>
  </si>
  <si>
    <t>AddResource</t>
  </si>
  <si>
    <t>資源 +N</t>
  </si>
  <si>
    <t>資源卡、探索</t>
  </si>
  <si>
    <t>SpendResource</t>
  </si>
  <si>
    <t>資源 -N</t>
  </si>
  <si>
    <t>製作、建築、事件</t>
  </si>
  <si>
    <t>AddPendingDamage</t>
  </si>
  <si>
    <t>戰鬥力 +N</t>
  </si>
  <si>
    <t>輪末處理殭屍</t>
  </si>
  <si>
    <t>AddMorale</t>
  </si>
  <si>
    <t>士氣 +N</t>
  </si>
  <si>
    <t>事件、食物計畫</t>
  </si>
  <si>
    <t>ReduceMorale</t>
  </si>
  <si>
    <t>士氣 -N</t>
  </si>
  <si>
    <t>負面事件、探索風險</t>
  </si>
  <si>
    <t>Card Flow</t>
  </si>
  <si>
    <t>DrawCards</t>
  </si>
  <si>
    <t>抽 N 張</t>
  </si>
  <si>
    <t>節奏卡、調度卡</t>
  </si>
  <si>
    <t>小心爆發太強</t>
  </si>
  <si>
    <t>GrantReplacementChance</t>
  </si>
  <si>
    <t>替換機會 +N</t>
  </si>
  <si>
    <t>情報中心、規劃卡</t>
  </si>
  <si>
    <t>AddCardToDiscardPile</t>
  </si>
  <si>
    <t>指定卡進棄牌堆</t>
  </si>
  <si>
    <t>殭屍風險、事件污染</t>
  </si>
  <si>
    <t>Exploration</t>
  </si>
  <si>
    <t>BeginExploration</t>
  </si>
  <si>
    <t>開啟地區三選一</t>
  </si>
  <si>
    <t>由 ExplorationCardData 觸發</t>
  </si>
  <si>
    <t>Building</t>
  </si>
  <si>
    <t>ConstructionProgress</t>
  </si>
  <si>
    <t>施工進度 +N</t>
  </si>
  <si>
    <t>建造卡</t>
  </si>
  <si>
    <t>由 ConstructionCardData 觸發</t>
  </si>
  <si>
    <t>QueueCraft</t>
  </si>
  <si>
    <t>排入製作</t>
  </si>
  <si>
    <t>建築互動</t>
  </si>
  <si>
    <t>不是卡牌效果</t>
  </si>
  <si>
    <t>Future</t>
  </si>
  <si>
    <t>UpgradeCard</t>
  </si>
  <si>
    <t>指定卡牌強化</t>
  </si>
  <si>
    <t>Partial</t>
  </si>
  <si>
    <t>防禦工事</t>
  </si>
  <si>
    <t>已有建築互動原型</t>
  </si>
  <si>
    <t>EventWeight</t>
  </si>
  <si>
    <t>事件權重修正</t>
  </si>
  <si>
    <t>No</t>
  </si>
  <si>
    <t>士氣、探索後果</t>
  </si>
  <si>
    <t>保留後續</t>
  </si>
  <si>
    <t>卡牌來源與卡包討論表</t>
  </si>
  <si>
    <t>當你設計新卡時，也要決定玩家何時拿得到。這張表用來避免所有好卡都太早出現。</t>
  </si>
  <si>
    <t>解鎖時機</t>
  </si>
  <si>
    <t>主要卡牌類型</t>
  </si>
  <si>
    <t>推薦強度</t>
  </si>
  <si>
    <t>風險</t>
  </si>
  <si>
    <t>設計目的</t>
  </si>
  <si>
    <t>範例</t>
  </si>
  <si>
    <t>Starting Deck</t>
  </si>
  <si>
    <t>第 1 天</t>
  </si>
  <si>
    <t>Food / Resource / Combat</t>
  </si>
  <si>
    <t>低到中</t>
  </si>
  <si>
    <t>提供基本運作</t>
  </si>
  <si>
    <t>標準食物、拆解零件</t>
  </si>
  <si>
    <t>補位時</t>
  </si>
  <si>
    <t>基礎卡</t>
  </si>
  <si>
    <t>維持正規牌組合法</t>
  </si>
  <si>
    <t>預設食物、預設資源</t>
  </si>
  <si>
    <t>不應太強</t>
  </si>
  <si>
    <t>建築完成後</t>
  </si>
  <si>
    <t>Explore / Craft / Planning / Combat</t>
  </si>
  <si>
    <t>成本與時間</t>
  </si>
  <si>
    <t>長期成長</t>
  </si>
  <si>
    <t>烹飪、基礎探索、調度</t>
  </si>
  <si>
    <t>探索後</t>
  </si>
  <si>
    <t>Food / Resource / Weapon / Tech / Clue</t>
  </si>
  <si>
    <t>中到高</t>
  </si>
  <si>
    <t>殭屍或士氣</t>
  </si>
  <si>
    <t>冒險換未來</t>
  </si>
  <si>
    <t>軍事基地武器卡</t>
  </si>
  <si>
    <t>Event</t>
  </si>
  <si>
    <t>事件選項</t>
  </si>
  <si>
    <t>任意</t>
  </si>
  <si>
    <t>低到高</t>
  </si>
  <si>
    <t>選項代價</t>
  </si>
  <si>
    <t>製造抉擇</t>
  </si>
  <si>
    <t>救援、交易、污染</t>
  </si>
  <si>
    <t>Construction</t>
  </si>
  <si>
    <t>施工開始後</t>
  </si>
  <si>
    <t>Build</t>
  </si>
  <si>
    <t>功能性</t>
  </si>
  <si>
    <t>占用正規牌組</t>
  </si>
  <si>
    <t>推進建築進度</t>
  </si>
  <si>
    <t>工作台建造卡</t>
  </si>
  <si>
    <t>完成/取消後移除</t>
  </si>
  <si>
    <t>Debug/Test</t>
  </si>
  <si>
    <t>測試用</t>
  </si>
  <si>
    <t>不限</t>
  </si>
  <si>
    <t>快速驗證</t>
  </si>
  <si>
    <t>測試卡</t>
  </si>
  <si>
    <t>不要混進正式卡池</t>
  </si>
  <si>
    <t>Card Packs - 卡包設計表</t>
  </si>
  <si>
    <t>填法建議：上半部定義卡包本身，下半部定義卡包內會抽到哪些卡。地區不要直接變成卡包；地區應該指定可能掉落哪些卡包，卡包再用權重抽卡。Pack ID 會連接上下兩張表。</t>
  </si>
  <si>
    <t>Pack ID</t>
  </si>
  <si>
    <t>卡包名稱</t>
  </si>
  <si>
    <t>卡包類型</t>
  </si>
  <si>
    <t>來源/地區</t>
  </si>
  <si>
    <t>每包張數</t>
  </si>
  <si>
    <t>是否可重複</t>
  </si>
  <si>
    <t>正常卡去向</t>
  </si>
  <si>
    <t>殭屍卡去向</t>
  </si>
  <si>
    <t>風險設計</t>
  </si>
  <si>
    <t>PACK-FOOD-S</t>
  </si>
  <si>
    <t>小食物卡包</t>
  </si>
  <si>
    <t>廢棄超市 / 住宅區</t>
  </si>
  <si>
    <t>CardInventory</t>
  </si>
  <si>
    <t>DiscardPile</t>
  </si>
  <si>
    <t>通常不額外加風險，由地區風險決定。</t>
  </si>
  <si>
    <t>提供短期食物補給與少量士氣牌。</t>
  </si>
  <si>
    <t>PACK-RES-S</t>
  </si>
  <si>
    <t>小資源卡包</t>
  </si>
  <si>
    <t>住宅區 / 加油站 / 倉庫</t>
  </si>
  <si>
    <t>支撐前期建築與製作節奏。</t>
  </si>
  <si>
    <t>PACK-TOOL-S</t>
  </si>
  <si>
    <t>小工具卡包</t>
  </si>
  <si>
    <t>Tool</t>
  </si>
  <si>
    <t>加油站 / 學校 / 事件</t>
  </si>
  <si>
    <t>工具牌容易改變節奏，需控制掉落。</t>
  </si>
  <si>
    <t>提供調度、加費與手牌操作。</t>
  </si>
  <si>
    <t>PACK-WEAPON-S</t>
  </si>
  <si>
    <t>小武器卡包</t>
  </si>
  <si>
    <t>Weapon</t>
  </si>
  <si>
    <t>加油站 / 軍事基地</t>
  </si>
  <si>
    <t>武器強度直接降低殭屍壓力，稀有卡需少量。</t>
  </si>
  <si>
    <t>提供戰鬥力補充。</t>
  </si>
  <si>
    <t>PACK-MIX-S</t>
  </si>
  <si>
    <t>混合生存卡包</t>
  </si>
  <si>
    <t>Mixed</t>
  </si>
  <si>
    <t>廢棄超市 / 住宅區 / 加油站</t>
  </si>
  <si>
    <t>可混入低量殭屍或傷口作為波動。</t>
  </si>
  <si>
    <t>讓探索結果更彈性。</t>
  </si>
  <si>
    <t>Entry ID</t>
  </si>
  <si>
    <t>權重</t>
  </si>
  <si>
    <t>最小張數</t>
  </si>
  <si>
    <t>最大張數</t>
  </si>
  <si>
    <t>是否地區限定</t>
  </si>
  <si>
    <t>限定地區</t>
  </si>
  <si>
    <t>抽到後去向</t>
  </si>
  <si>
    <t>設計備註</t>
  </si>
  <si>
    <t>E001</t>
  </si>
  <si>
    <t>標準食物牌。</t>
  </si>
  <si>
    <t>是否足以支撐 10 天短局。</t>
  </si>
  <si>
    <t>E002</t>
  </si>
  <si>
    <t>高使用次數但效率較低。</t>
  </si>
  <si>
    <t>是否太穩定。</t>
  </si>
  <si>
    <t>E003</t>
  </si>
  <si>
    <t>少量士氣回復。</t>
  </si>
  <si>
    <t>士氣是否太容易補回。</t>
  </si>
  <si>
    <t>E004</t>
  </si>
  <si>
    <t>超商 / 便利商店</t>
  </si>
  <si>
    <t>地區限定高收益食物。</t>
  </si>
  <si>
    <t>爆倉轉士氣後是否太強。</t>
  </si>
  <si>
    <t>E005</t>
  </si>
  <si>
    <t>標準資源牌。</t>
  </si>
  <si>
    <t>建築進度是否過快。</t>
  </si>
  <si>
    <t>E006</t>
  </si>
  <si>
    <t>單次高收益。</t>
  </si>
  <si>
    <t>一次性收益是否太強。</t>
  </si>
  <si>
    <t>E007</t>
  </si>
  <si>
    <t>倉庫</t>
  </si>
  <si>
    <t>高費高收益資源。</t>
  </si>
  <si>
    <t>是否需要加費工具支援。</t>
  </si>
  <si>
    <t>E008</t>
  </si>
  <si>
    <t>檢索抽牌堆並放入休憩。</t>
  </si>
  <si>
    <t>是否導致過度穩定。</t>
  </si>
  <si>
    <t>E009</t>
  </si>
  <si>
    <t>0 費加 1 能量。</t>
  </si>
  <si>
    <t>是否讓高費牌太容易打。</t>
  </si>
  <si>
    <t>E010</t>
  </si>
  <si>
    <t>降低其他手牌費用。</t>
  </si>
  <si>
    <t>是否形成爆發回合。</t>
  </si>
  <si>
    <t>E011</t>
  </si>
  <si>
    <t>標準武器。</t>
  </si>
  <si>
    <t>殭屍壓力是否下降太多。</t>
  </si>
  <si>
    <t>E012</t>
  </si>
  <si>
    <t>高效率武器。</t>
  </si>
  <si>
    <t>稀有武器是否太強。</t>
  </si>
  <si>
    <t>卡包公式建議：先依地區掉落表抽出 Pack ID，再依本表 Pack ID 找到候選 Entry，以權重抽取指定張數。若抽到 ZombieCardData，V1 規則是進棄牌堆；其他卡進 CardInventory。</t>
  </si>
  <si>
    <t xml:space="preserve"> </t>
    <phoneticPr fontId="6" type="noConversion"/>
  </si>
  <si>
    <t>欄18</t>
  </si>
  <si>
    <t>欄19</t>
  </si>
  <si>
    <t>欄20</t>
  </si>
  <si>
    <t>欄21</t>
  </si>
  <si>
    <r>
      <rPr>
        <sz val="11"/>
        <rFont val="Microsoft JhengHei"/>
        <charset val="136"/>
      </rPr>
      <t>事件</t>
    </r>
    <r>
      <rPr>
        <sz val="11"/>
        <rFont val="Calibri"/>
        <family val="2"/>
      </rPr>
      <t>ID</t>
    </r>
    <phoneticPr fontId="6" type="noConversion"/>
  </si>
  <si>
    <t>正負分類</t>
    <phoneticPr fontId="6" type="noConversion"/>
  </si>
  <si>
    <t>是否一局一次</t>
    <phoneticPr fontId="6" type="noConversion"/>
  </si>
  <si>
    <t>冷卻天數</t>
    <phoneticPr fontId="6" type="noConversion"/>
  </si>
  <si>
    <t>前置條件</t>
    <phoneticPr fontId="6" type="noConversion"/>
  </si>
  <si>
    <t>事件名稱</t>
    <phoneticPr fontId="6" type="noConversion"/>
  </si>
  <si>
    <t>食物受潮</t>
    <phoneticPr fontId="6" type="noConversion"/>
  </si>
  <si>
    <t>飢餓倖存者</t>
    <phoneticPr fontId="6" type="noConversion"/>
  </si>
  <si>
    <t>夜間低溫</t>
    <phoneticPr fontId="6" type="noConversion"/>
  </si>
  <si>
    <t>發現補給品</t>
    <phoneticPr fontId="6" type="noConversion"/>
  </si>
  <si>
    <t>工具損耗</t>
    <phoneticPr fontId="6" type="noConversion"/>
  </si>
  <si>
    <t>臨時修繕</t>
    <phoneticPr fontId="6" type="noConversion"/>
  </si>
  <si>
    <t>遠處槍聲</t>
    <phoneticPr fontId="6" type="noConversion"/>
  </si>
  <si>
    <t>屍群逼近</t>
    <phoneticPr fontId="6" type="noConversion"/>
  </si>
  <si>
    <t>路線錯判</t>
    <phoneticPr fontId="6" type="noConversion"/>
  </si>
  <si>
    <t>可疑信號</t>
    <phoneticPr fontId="6" type="noConversion"/>
  </si>
  <si>
    <t>破損路障</t>
    <phoneticPr fontId="6" type="noConversion"/>
  </si>
  <si>
    <t>廢棄地圖</t>
    <phoneticPr fontId="6" type="noConversion"/>
  </si>
  <si>
    <t>負面</t>
    <phoneticPr fontId="6" type="noConversion"/>
  </si>
  <si>
    <t>混合</t>
    <phoneticPr fontId="6" type="noConversion"/>
  </si>
  <si>
    <t>正面</t>
    <phoneticPr fontId="6" type="noConversion"/>
  </si>
  <si>
    <t>混合偏負面</t>
    <phoneticPr fontId="6" type="noConversion"/>
  </si>
  <si>
    <t>小</t>
    <phoneticPr fontId="6" type="noConversion"/>
  </si>
  <si>
    <t>中</t>
    <phoneticPr fontId="6" type="noConversion"/>
  </si>
  <si>
    <t>影響程度</t>
    <phoneticPr fontId="6" type="noConversion"/>
  </si>
  <si>
    <t>中高</t>
    <phoneticPr fontId="6" type="noConversion"/>
  </si>
  <si>
    <t>高</t>
    <phoneticPr fontId="6" type="noConversion"/>
  </si>
  <si>
    <t>低</t>
    <phoneticPr fontId="6" type="noConversion"/>
  </si>
  <si>
    <t>雲朗天清</t>
    <phoneticPr fontId="6" type="noConversion"/>
  </si>
  <si>
    <t>否</t>
    <phoneticPr fontId="6" type="noConversion"/>
  </si>
  <si>
    <t>是</t>
    <phoneticPr fontId="6" type="noConversion"/>
  </si>
  <si>
    <t>無</t>
    <phoneticPr fontId="6" type="noConversion"/>
  </si>
  <si>
    <t>權重1~100</t>
    <phoneticPr fontId="6" type="noConversion"/>
  </si>
  <si>
    <t>屍群來臨</t>
    <phoneticPr fontId="6" type="noConversion"/>
  </si>
  <si>
    <t>每次屍群逼近之後才可出現一次，</t>
    <phoneticPr fontId="6" type="noConversion"/>
  </si>
  <si>
    <t>選擇欄位1</t>
    <phoneticPr fontId="6" type="noConversion"/>
  </si>
  <si>
    <t>選擇欄位2</t>
    <phoneticPr fontId="6" type="noConversion"/>
  </si>
  <si>
    <t>選擇欄位3</t>
    <phoneticPr fontId="6" type="noConversion"/>
  </si>
  <si>
    <t>文本</t>
    <phoneticPr fontId="6" type="noConversion"/>
  </si>
  <si>
    <t>選擇欄位1文本</t>
    <phoneticPr fontId="6" type="noConversion"/>
  </si>
  <si>
    <t>特殊規則</t>
    <phoneticPr fontId="6" type="noConversion"/>
  </si>
  <si>
    <t>在屍群逼近後每天增加此權重50</t>
    <phoneticPr fontId="6" type="noConversion"/>
  </si>
  <si>
    <t>屍群逼近的權重增加50</t>
    <phoneticPr fontId="6" type="noConversion"/>
  </si>
  <si>
    <t>若倉庫等級&gt;=2則不會發生</t>
    <phoneticPr fontId="6" type="noConversion"/>
  </si>
  <si>
    <r>
      <rPr>
        <sz val="11"/>
        <rFont val="微軟正黑體"/>
        <family val="2"/>
        <charset val="136"/>
      </rPr>
      <t>若食物庫存</t>
    </r>
    <r>
      <rPr>
        <sz val="11"/>
        <rFont val="Arial"/>
        <family val="2"/>
      </rPr>
      <t>&gt;=</t>
    </r>
    <r>
      <rPr>
        <sz val="11"/>
        <rFont val="微軟正黑體"/>
        <family val="2"/>
        <charset val="136"/>
      </rPr>
      <t>食物上限</t>
    </r>
    <r>
      <rPr>
        <sz val="11"/>
        <rFont val="Arial"/>
        <family val="2"/>
      </rPr>
      <t xml:space="preserve">50% </t>
    </r>
    <r>
      <rPr>
        <sz val="11"/>
        <rFont val="微軟正黑體"/>
        <family val="2"/>
        <charset val="136"/>
      </rPr>
      <t>權重*5</t>
    </r>
    <phoneticPr fontId="6" type="noConversion"/>
  </si>
  <si>
    <t>增添暖爐</t>
    <phoneticPr fontId="6" type="noConversion"/>
  </si>
  <si>
    <t>夜晚的熱湯</t>
    <phoneticPr fontId="6" type="noConversion"/>
  </si>
  <si>
    <t>選擇欄位2文本</t>
    <phoneticPr fontId="6" type="noConversion"/>
  </si>
  <si>
    <t>選擇欄位3文本</t>
    <phoneticPr fontId="6" type="noConversion"/>
  </si>
  <si>
    <t>選擇欄位1內容文本</t>
    <phoneticPr fontId="6" type="noConversion"/>
  </si>
  <si>
    <t>選擇欄位3內容文本</t>
    <phoneticPr fontId="6" type="noConversion"/>
  </si>
  <si>
    <r>
      <rPr>
        <sz val="11"/>
        <rFont val="微軟正黑體"/>
        <family val="2"/>
        <charset val="136"/>
      </rPr>
      <t>選擇欄位2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內容文本</t>
    </r>
    <phoneticPr fontId="6" type="noConversion"/>
  </si>
  <si>
    <r>
      <rPr>
        <sz val="11"/>
        <rFont val="微軟正黑體"/>
        <family val="2"/>
        <charset val="136"/>
      </rPr>
      <t>食物</t>
    </r>
    <r>
      <rPr>
        <sz val="11"/>
        <rFont val="Arial"/>
        <family val="2"/>
      </rPr>
      <t>-(</t>
    </r>
    <r>
      <rPr>
        <sz val="11"/>
        <rFont val="微軟正黑體"/>
        <family val="2"/>
        <charset val="136"/>
      </rPr>
      <t>現存食物的2</t>
    </r>
    <r>
      <rPr>
        <sz val="11"/>
        <rFont val="Arial"/>
        <family val="2"/>
      </rPr>
      <t>0%-</t>
    </r>
    <r>
      <rPr>
        <sz val="11"/>
        <rFont val="微軟正黑體"/>
        <family val="2"/>
        <charset val="136"/>
      </rPr>
      <t>倉庫等級-10%</t>
    </r>
    <r>
      <rPr>
        <sz val="11"/>
        <rFont val="Arial"/>
        <family val="2"/>
      </rPr>
      <t>)</t>
    </r>
    <phoneticPr fontId="6" type="noConversion"/>
  </si>
  <si>
    <t xml:space="preserve">丟棄食物 </t>
    <phoneticPr fontId="6" type="noConversion"/>
  </si>
  <si>
    <r>
      <rPr>
        <sz val="11"/>
        <rFont val="微軟正黑體"/>
        <family val="2"/>
        <charset val="136"/>
      </rPr>
      <t>士氣</t>
    </r>
    <r>
      <rPr>
        <sz val="11"/>
        <rFont val="Arial"/>
        <family val="2"/>
      </rPr>
      <t>-5</t>
    </r>
    <phoneticPr fontId="6" type="noConversion"/>
  </si>
  <si>
    <t xml:space="preserve">置之不理 </t>
    <phoneticPr fontId="6" type="noConversion"/>
  </si>
  <si>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每日需求</t>
    </r>
    <r>
      <rPr>
        <sz val="11"/>
        <rFont val="Arial"/>
        <family val="2"/>
      </rPr>
      <t>+(2*</t>
    </r>
    <r>
      <rPr>
        <sz val="11"/>
        <rFont val="微軟正黑體"/>
        <family val="2"/>
        <charset val="136"/>
      </rPr>
      <t>已幫助人數) 最大能量增加1點</t>
    </r>
    <phoneticPr fontId="6" type="noConversion"/>
  </si>
  <si>
    <t>加入我們</t>
    <phoneticPr fontId="6" type="noConversion"/>
  </si>
  <si>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減少(min(現有10%,2) )食物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增加(消耗食物*2)點士氣</t>
    </r>
    <phoneticPr fontId="6" type="noConversion"/>
  </si>
  <si>
    <t>選擇幫助</t>
    <phoneticPr fontId="6" type="noConversion"/>
  </si>
  <si>
    <t xml:space="preserve">忽視請求 </t>
    <phoneticPr fontId="6" type="noConversion"/>
  </si>
  <si>
    <t>無能為力</t>
    <phoneticPr fontId="6" type="noConversion"/>
  </si>
  <si>
    <t>減少(最大能量)點資源</t>
    <phoneticPr fontId="6" type="noConversion"/>
  </si>
  <si>
    <t>開啟補給箱(卡包)</t>
    <phoneticPr fontId="6" type="noConversion"/>
  </si>
  <si>
    <t>文本上顯示都是開啟補給箱 三者隨機打亂顯示</t>
    <phoneticPr fontId="6" type="noConversion"/>
  </si>
  <si>
    <t>開啟補給箱(資源)</t>
    <phoneticPr fontId="6" type="noConversion"/>
  </si>
  <si>
    <t>開啟補給箱(特定戰鬥卡)</t>
    <phoneticPr fontId="6" type="noConversion"/>
  </si>
  <si>
    <t>獲得(50%資源卡包、50%食物卡包)</t>
    <phoneticPr fontId="6" type="noConversion"/>
  </si>
  <si>
    <r>
      <rPr>
        <sz val="11"/>
        <rFont val="微軟正黑體"/>
        <family val="2"/>
        <charset val="136"/>
      </rPr>
      <t>獲得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食物上限20%的食物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>與(食物上限10%的資源)</t>
    </r>
    <phoneticPr fontId="6" type="noConversion"/>
  </si>
  <si>
    <r>
      <rPr>
        <sz val="11"/>
        <rFont val="微軟正黑體"/>
        <family val="2"/>
        <charset val="136"/>
      </rPr>
      <t>獲得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消防斧*2</t>
    </r>
    <r>
      <rPr>
        <sz val="11"/>
        <rFont val="Arial"/>
        <family val="2"/>
      </rPr>
      <t>)</t>
    </r>
    <phoneticPr fontId="6" type="noConversion"/>
  </si>
  <si>
    <t>修理</t>
    <phoneticPr fontId="6" type="noConversion"/>
  </si>
  <si>
    <t>嘗試敲打</t>
    <phoneticPr fontId="6" type="noConversion"/>
  </si>
  <si>
    <t>回收零件</t>
    <phoneticPr fontId="6" type="noConversion"/>
  </si>
  <si>
    <t>下一輪無法打出食物與資源卡 獲得2點資源</t>
    <phoneticPr fontId="6" type="noConversion"/>
  </si>
  <si>
    <t>加固外牆</t>
    <phoneticPr fontId="6" type="noConversion"/>
  </si>
  <si>
    <t>加強警戒</t>
    <phoneticPr fontId="6" type="noConversion"/>
  </si>
  <si>
    <r>
      <rPr>
        <sz val="11"/>
        <rFont val="微軟正黑體"/>
        <family val="2"/>
        <charset val="136"/>
      </rPr>
      <t>消耗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最大能量*2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>點資源 (最大能量)點戰鬥值</t>
    </r>
    <phoneticPr fontId="6" type="noConversion"/>
  </si>
  <si>
    <r>
      <rPr>
        <sz val="11"/>
        <rFont val="微軟正黑體"/>
        <family val="2"/>
        <charset val="136"/>
      </rPr>
      <t>消耗(最大能量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>點資源 下一輪的戰鬥卡獲得的戰鬥值+1</t>
    </r>
    <phoneticPr fontId="6" type="noConversion"/>
  </si>
  <si>
    <t>簡單填補</t>
    <phoneticPr fontId="6" type="noConversion"/>
  </si>
  <si>
    <t>戰鬥值-2</t>
    <phoneticPr fontId="6" type="noConversion"/>
  </si>
  <si>
    <t>派人查看</t>
    <phoneticPr fontId="6" type="noConversion"/>
  </si>
  <si>
    <t>混和偏負面</t>
    <phoneticPr fontId="6" type="noConversion"/>
  </si>
  <si>
    <t>士氣減少5</t>
    <phoneticPr fontId="6" type="noConversion"/>
  </si>
  <si>
    <t>消耗(最大能量)點資源與消耗(最大能量*2)點食物(無論飢餓倖存者有沒有在冷卻，下一次的事件為飢餓倖存者)</t>
    <phoneticPr fontId="6" type="noConversion"/>
  </si>
  <si>
    <t>忽視</t>
    <phoneticPr fontId="6" type="noConversion"/>
  </si>
  <si>
    <t>新增一張僵屍卡進入棄牌堆</t>
    <phoneticPr fontId="6" type="noConversion"/>
  </si>
  <si>
    <t>派人偵查</t>
    <phoneticPr fontId="6" type="noConversion"/>
  </si>
  <si>
    <t>靜待來臨</t>
    <phoneticPr fontId="6" type="noConversion"/>
  </si>
  <si>
    <r>
      <rPr>
        <sz val="11"/>
        <rFont val="微軟正黑體"/>
        <family val="2"/>
        <charset val="136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最大能量*2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>點資源 獲得(最大能量)點戰鬥值</t>
    </r>
    <phoneticPr fontId="6" type="noConversion"/>
  </si>
  <si>
    <t>無事發生</t>
    <phoneticPr fontId="6" type="noConversion"/>
  </si>
  <si>
    <t>撤退</t>
    <phoneticPr fontId="6" type="noConversion"/>
  </si>
  <si>
    <t>繼續前進</t>
    <phoneticPr fontId="6" type="noConversion"/>
  </si>
  <si>
    <t>減少(最大能量*3)點士氣</t>
    <phoneticPr fontId="6" type="noConversion"/>
  </si>
  <si>
    <t>下一輪無法打出探索卡</t>
    <phoneticPr fontId="6" type="noConversion"/>
  </si>
  <si>
    <t>接收信號</t>
    <phoneticPr fontId="6" type="noConversion"/>
  </si>
  <si>
    <t>摧毀無線電</t>
    <phoneticPr fontId="6" type="noConversion"/>
  </si>
  <si>
    <t>下一次的屍群來臨難度翻倍 (分數翻倍+顯示最後出現屍群的時間)</t>
    <phoneticPr fontId="6" type="noConversion"/>
  </si>
  <si>
    <t>製作工具</t>
    <phoneticPr fontId="6" type="noConversion"/>
  </si>
  <si>
    <t>臨時改道</t>
    <phoneticPr fontId="6" type="noConversion"/>
  </si>
  <si>
    <t>下一輪打出的探索卡能量翻倍</t>
    <phoneticPr fontId="6" type="noConversion"/>
  </si>
  <si>
    <r>
      <rPr>
        <sz val="11"/>
        <rFont val="微軟正黑體"/>
        <family val="2"/>
        <charset val="136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最大能量值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 xml:space="preserve">點資源  </t>
    </r>
    <phoneticPr fontId="6" type="noConversion"/>
  </si>
  <si>
    <t>查看新地點</t>
    <phoneticPr fontId="6" type="noConversion"/>
  </si>
  <si>
    <t>確認舊地點</t>
    <phoneticPr fontId="6" type="noConversion"/>
  </si>
  <si>
    <t>標註威脅點</t>
    <phoneticPr fontId="6" type="noConversion"/>
  </si>
  <si>
    <t>新增地點供探索卡探索</t>
    <phoneticPr fontId="6" type="noConversion"/>
  </si>
  <si>
    <t>舊地點的探索值增加</t>
    <phoneticPr fontId="6" type="noConversion"/>
  </si>
  <si>
    <t>助長士氣</t>
    <phoneticPr fontId="6" type="noConversion"/>
  </si>
  <si>
    <t>休假放鬆</t>
    <phoneticPr fontId="6" type="noConversion"/>
  </si>
  <si>
    <t>一如既往</t>
    <phoneticPr fontId="6" type="noConversion"/>
  </si>
  <si>
    <t>助長士氣只能在食物&gt;食物上限50%時才能選擇</t>
    <phoneticPr fontId="6" type="noConversion"/>
  </si>
  <si>
    <r>
      <rPr>
        <sz val="11"/>
        <rFont val="微軟正黑體"/>
        <family val="2"/>
        <charset val="136"/>
      </rPr>
      <t>下一輪的效率</t>
    </r>
    <r>
      <rPr>
        <sz val="11"/>
        <rFont val="Arial"/>
        <family val="2"/>
      </rPr>
      <t>-1</t>
    </r>
    <r>
      <rPr>
        <sz val="11"/>
        <rFont val="Carlito"/>
      </rPr>
      <t xml:space="preserve"> 增加(最大能量)點士氣</t>
    </r>
    <phoneticPr fontId="6" type="noConversion"/>
  </si>
  <si>
    <t>背水一戰</t>
    <phoneticPr fontId="6" type="noConversion"/>
  </si>
  <si>
    <t>事件分類</t>
    <phoneticPr fontId="6" type="noConversion"/>
  </si>
  <si>
    <t>資源</t>
    <phoneticPr fontId="6" type="noConversion"/>
  </si>
  <si>
    <t>倖存者</t>
    <phoneticPr fontId="6" type="noConversion"/>
  </si>
  <si>
    <t>效果</t>
    <phoneticPr fontId="6" type="noConversion"/>
  </si>
  <si>
    <t>劇情</t>
    <phoneticPr fontId="6" type="noConversion"/>
  </si>
  <si>
    <t>殭屍</t>
    <phoneticPr fontId="6" type="noConversion"/>
  </si>
  <si>
    <r>
      <rPr>
        <sz val="11"/>
        <rFont val="微軟正黑體"/>
        <family val="2"/>
        <charset val="136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最大能量*2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>點食物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獲得下次屍群來臨的詳細資訊 殭屍威脅-(最大能量)點</t>
    </r>
    <phoneticPr fontId="6" type="noConversion"/>
  </si>
  <si>
    <t>根據殭屍威脅給予對應難度的殭屍卡數量</t>
    <phoneticPr fontId="6" type="noConversion"/>
  </si>
  <si>
    <r>
      <t>50%</t>
    </r>
    <r>
      <rPr>
        <sz val="11"/>
        <rFont val="微軟正黑體"/>
        <family val="2"/>
        <charset val="136"/>
      </rPr>
      <t>無事發生</t>
    </r>
    <r>
      <rPr>
        <sz val="11"/>
        <rFont val="Arial"/>
        <family val="2"/>
      </rPr>
      <t xml:space="preserve"> 50%</t>
    </r>
    <r>
      <rPr>
        <sz val="11"/>
        <rFont val="微軟正黑體"/>
        <family val="2"/>
        <charset val="136"/>
      </rPr>
      <t>下一輪效率-1</t>
    </r>
    <phoneticPr fontId="6" type="noConversion"/>
  </si>
  <si>
    <r>
      <rPr>
        <sz val="11"/>
        <rFont val="微軟正黑體"/>
        <family val="2"/>
        <charset val="136"/>
      </rPr>
      <t>若該輪有打出探索卡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權重增加</t>
    </r>
    <r>
      <rPr>
        <sz val="11"/>
        <rFont val="Arial"/>
        <family val="2"/>
      </rPr>
      <t xml:space="preserve">+50 </t>
    </r>
    <r>
      <rPr>
        <sz val="11"/>
        <rFont val="微軟正黑體"/>
        <family val="2"/>
        <charset val="136"/>
      </rPr>
      <t>冷卻-1</t>
    </r>
    <phoneticPr fontId="6" type="noConversion"/>
  </si>
  <si>
    <t>殭屍威脅減少(最大能量)點</t>
    <phoneticPr fontId="6" type="noConversion"/>
  </si>
  <si>
    <t>最晚天數</t>
    <phoneticPr fontId="6" type="noConversion"/>
  </si>
  <si>
    <t>最早</t>
    <phoneticPr fontId="6" type="noConversion"/>
  </si>
  <si>
    <t>混和/劇情</t>
    <phoneticPr fontId="6" type="noConversion"/>
  </si>
  <si>
    <t>混和/效果</t>
    <phoneticPr fontId="6" type="noConversion"/>
  </si>
  <si>
    <r>
      <rPr>
        <sz val="11"/>
        <rFont val="微軟正黑體"/>
        <family val="2"/>
        <charset val="136"/>
      </rPr>
      <t>減少(食物上限30)</t>
    </r>
    <r>
      <rPr>
        <sz val="11"/>
        <rFont val="Arial"/>
        <family val="2"/>
      </rPr>
      <t>%</t>
    </r>
    <r>
      <rPr>
        <sz val="11"/>
        <rFont val="微軟正黑體"/>
        <family val="2"/>
        <charset val="136"/>
      </rPr>
      <t>點食物 增加(被消耗的食物*2)點士氣</t>
    </r>
    <phoneticPr fontId="6" type="noConversion"/>
  </si>
  <si>
    <t>減少(最大能量*2的食物) 增加(最大能量)點士氣</t>
    <phoneticPr fontId="6" type="noConversion"/>
  </si>
  <si>
    <r>
      <rPr>
        <sz val="11"/>
        <rFont val="微軟正黑體"/>
        <family val="2"/>
        <charset val="136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最大能量</t>
    </r>
    <r>
      <rPr>
        <sz val="11"/>
        <rFont val="Arial"/>
        <family val="2"/>
      </rPr>
      <t>)</t>
    </r>
    <r>
      <rPr>
        <sz val="11"/>
        <rFont val="微軟正黑體"/>
        <family val="2"/>
        <charset val="136"/>
      </rPr>
      <t>點士氣</t>
    </r>
    <phoneticPr fontId="6" type="noConversion"/>
  </si>
  <si>
    <t>欄9</t>
  </si>
  <si>
    <t>欄10</t>
  </si>
  <si>
    <t>欄11</t>
  </si>
  <si>
    <t>欄12</t>
  </si>
  <si>
    <t>欄13</t>
  </si>
  <si>
    <t>欄14</t>
  </si>
  <si>
    <t>欄15</t>
  </si>
  <si>
    <t>欄16</t>
  </si>
  <si>
    <t>欄17</t>
  </si>
  <si>
    <t>欄22</t>
  </si>
  <si>
    <t>欄23</t>
  </si>
  <si>
    <t>欄24</t>
  </si>
  <si>
    <t>欄25</t>
  </si>
  <si>
    <t>欄26</t>
  </si>
  <si>
    <t>Region ID</t>
  </si>
  <si>
    <t>地區名稱</t>
  </si>
  <si>
    <t>階級</t>
  </si>
  <si>
    <t>基礎危險</t>
  </si>
  <si>
    <t>殭屍總量</t>
  </si>
  <si>
    <t>基礎遭遇率</t>
  </si>
  <si>
    <t>每次熱度</t>
  </si>
  <si>
    <t>每日衰減</t>
  </si>
  <si>
    <t>REGION-001</t>
  </si>
  <si>
    <t>廢棄超市</t>
  </si>
  <si>
    <t>初級</t>
  </si>
  <si>
    <t>REGION-002</t>
  </si>
  <si>
    <t>住宅區</t>
  </si>
  <si>
    <t>REGION-003</t>
  </si>
  <si>
    <t>REGION-004</t>
  </si>
  <si>
    <t>中級</t>
  </si>
  <si>
    <t>初始數量</t>
  </si>
  <si>
    <t>基礎權重</t>
  </si>
  <si>
    <t>剩餘數量</t>
  </si>
  <si>
    <t>普通</t>
  </si>
  <si>
    <t>稀有</t>
  </si>
  <si>
    <t>極稀有</t>
  </si>
  <si>
    <t>欄8</t>
    <phoneticPr fontId="6" type="noConversion"/>
  </si>
  <si>
    <t>REGION-005</t>
  </si>
  <si>
    <t>REGION-005</t>
    <phoneticPr fontId="6" type="noConversion"/>
  </si>
  <si>
    <t>倉庫</t>
    <phoneticPr fontId="6" type="noConversion"/>
  </si>
  <si>
    <t>中級</t>
    <phoneticPr fontId="6" type="noConversion"/>
  </si>
  <si>
    <t>住宅包</t>
    <phoneticPr fontId="6" type="noConversion"/>
  </si>
  <si>
    <t>REGION-001</t>
    <phoneticPr fontId="6" type="noConversion"/>
  </si>
  <si>
    <t>稀有</t>
    <phoneticPr fontId="6" type="noConversion"/>
  </si>
  <si>
    <t>極稀有</t>
    <phoneticPr fontId="6" type="noConversion"/>
  </si>
  <si>
    <t>PACK-COMMON-FOOD-01</t>
    <phoneticPr fontId="6" type="noConversion"/>
  </si>
  <si>
    <t>PACK-COMMON-RESOURCE-01</t>
    <phoneticPr fontId="6" type="noConversion"/>
  </si>
  <si>
    <t>簡易資源包</t>
    <phoneticPr fontId="6" type="noConversion"/>
  </si>
  <si>
    <t>簡易食物包</t>
    <phoneticPr fontId="6" type="noConversion"/>
  </si>
  <si>
    <t>罕見資源包</t>
    <phoneticPr fontId="6" type="noConversion"/>
  </si>
  <si>
    <t>稀有補給包</t>
    <phoneticPr fontId="6" type="noConversion"/>
  </si>
  <si>
    <t>PACK-UNCOMMON-RESOURCE-01</t>
    <phoneticPr fontId="6" type="noConversion"/>
  </si>
  <si>
    <t>REGION-002</t>
    <phoneticPr fontId="6" type="noConversion"/>
  </si>
  <si>
    <t>PACK-REGION-002-01</t>
    <phoneticPr fontId="6" type="noConversion"/>
  </si>
  <si>
    <t>PACK-RARE-SUPPLY-01</t>
    <phoneticPr fontId="6" type="noConversion"/>
  </si>
  <si>
    <t>消防局</t>
    <phoneticPr fontId="6" type="noConversion"/>
  </si>
  <si>
    <t>消防局包</t>
    <phoneticPr fontId="6" type="noConversion"/>
  </si>
  <si>
    <t>五金行</t>
    <phoneticPr fontId="6" type="noConversion"/>
  </si>
  <si>
    <t>PACK-FireDepartment-01</t>
    <phoneticPr fontId="6" type="noConversion"/>
  </si>
  <si>
    <t>PACK-RARE-RESOURCE-01</t>
    <phoneticPr fontId="6" type="noConversion"/>
  </si>
  <si>
    <t>稀有資源包</t>
    <phoneticPr fontId="6" type="noConversion"/>
  </si>
  <si>
    <t>PACK-UNCOMMON-FOOD-01</t>
    <phoneticPr fontId="6" type="noConversion"/>
  </si>
  <si>
    <t>罕見食物包</t>
    <phoneticPr fontId="6" type="noConversion"/>
  </si>
  <si>
    <t>PACK-STOREHOUSE-01</t>
    <phoneticPr fontId="6" type="noConversion"/>
  </si>
  <si>
    <t>倉庫包</t>
    <phoneticPr fontId="6" type="noConversion"/>
  </si>
  <si>
    <t>Region ID</t>
    <phoneticPr fontId="6" type="noConversion"/>
  </si>
  <si>
    <t>Pack ID</t>
    <phoneticPr fontId="6" type="noConversion"/>
  </si>
  <si>
    <t>卡包名稱</t>
    <phoneticPr fontId="6" type="noConversion"/>
  </si>
  <si>
    <t>地區供應稀有度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</si>
</sst>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m&quot;月&quot;d&quot;日&quot;"/>
  </numFmts>
  <fonts count="15">
    <font>
      <sz val="11"/>
      <name val="Carlito"/>
    </font>
    <font>
      <b/>
      <sz val="14"/>
      <color rgb="FFFFFFFF"/>
      <name val="Microsoft JhengHei"/>
      <family val="2"/>
      <charset val="136"/>
    </font>
    <font>
      <sz val="11"/>
      <color rgb="FF1F2933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1"/>
      <color rgb="FF111827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  <font>
      <sz val="11"/>
      <name val="Microsoft JhengHei"/>
      <charset val="136"/>
    </font>
    <font>
      <sz val="11"/>
      <name val="Calibri"/>
      <family val="2"/>
    </font>
    <font>
      <sz val="11"/>
      <name val="Carlito"/>
      <family val="2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Carlito"/>
      <family val="2"/>
      <charset val="136"/>
    </font>
    <font>
      <b/>
      <sz val="11"/>
      <name val="Carlito"/>
      <family val="2"/>
    </font>
    <font>
      <b/>
      <sz val="1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183A59"/>
      </patternFill>
    </fill>
    <fill>
      <patternFill patternType="solid">
        <fgColor rgb="FFF4E9D2"/>
      </patternFill>
    </fill>
    <fill>
      <patternFill patternType="solid">
        <fgColor rgb="FF315F82"/>
      </patternFill>
    </fill>
    <fill>
      <patternFill patternType="solid">
        <fgColor rgb="FFF8FAFC"/>
      </patternFill>
    </fill>
    <fill>
      <patternFill patternType="solid">
        <fgColor rgb="FF112B3C"/>
      </patternFill>
    </fill>
    <fill>
      <patternFill patternType="solid">
        <fgColor rgb="FFFFFFFF"/>
      </patternFill>
    </fill>
    <fill>
      <patternFill patternType="solid">
        <fgColor rgb="FFFFF8D8"/>
      </patternFill>
    </fill>
    <fill>
      <patternFill patternType="solid">
        <fgColor rgb="FFF7FAFC"/>
      </patternFill>
    </fill>
    <fill>
      <patternFill patternType="solid">
        <fgColor rgb="FFEAF3FF"/>
      </patternFill>
    </fill>
    <fill>
      <patternFill patternType="solid">
        <fgColor rgb="FF3C5F4A"/>
      </patternFill>
    </fill>
  </fills>
  <borders count="14">
    <border>
      <left/>
      <right/>
      <top/>
      <bottom/>
      <diagonal/>
    </border>
    <border>
      <left style="thin">
        <color rgb="FFD6C59E"/>
      </left>
      <right/>
      <top style="thin">
        <color rgb="FFD6C59E"/>
      </top>
      <bottom style="thin">
        <color rgb="FFD6C59E"/>
      </bottom>
      <diagonal/>
    </border>
    <border>
      <left/>
      <right/>
      <top style="thin">
        <color rgb="FFD6C59E"/>
      </top>
      <bottom style="thin">
        <color rgb="FFD6C59E"/>
      </bottom>
      <diagonal/>
    </border>
    <border>
      <left/>
      <right style="thin">
        <color rgb="FFD6C59E"/>
      </right>
      <top style="thin">
        <color rgb="FFD6C59E"/>
      </top>
      <bottom style="thin">
        <color rgb="FFD6C59E"/>
      </bottom>
      <diagonal/>
    </border>
    <border>
      <left style="thin">
        <color rgb="FFB8C3D0"/>
      </left>
      <right style="thin">
        <color rgb="FFB8C3D0"/>
      </right>
      <top style="thin">
        <color rgb="FFB8C3D0"/>
      </top>
      <bottom style="thin">
        <color rgb="FFB8C3D0"/>
      </bottom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>
      <left style="thin">
        <color rgb="FFD6C59E"/>
      </left>
      <right/>
      <top style="thin">
        <color rgb="FFD6C59E"/>
      </top>
      <bottom/>
      <diagonal/>
    </border>
    <border>
      <left/>
      <right/>
      <top style="thin">
        <color rgb="FFD6C59E"/>
      </top>
      <bottom/>
      <diagonal/>
    </border>
    <border>
      <left/>
      <right style="thin">
        <color rgb="FFD6C59E"/>
      </right>
      <top style="thin">
        <color rgb="FFD6C59E"/>
      </top>
      <bottom/>
      <diagonal/>
    </border>
    <border>
      <left style="thin">
        <color rgb="FFD6C59E"/>
      </left>
      <right/>
      <top/>
      <bottom style="thin">
        <color rgb="FFD6C59E"/>
      </bottom>
      <diagonal/>
    </border>
    <border>
      <left/>
      <right/>
      <top/>
      <bottom style="thin">
        <color rgb="FFD6C59E"/>
      </bottom>
      <diagonal/>
    </border>
    <border>
      <left/>
      <right style="thin">
        <color rgb="FFD6C59E"/>
      </right>
      <top/>
      <bottom style="thin">
        <color rgb="FFD6C59E"/>
      </bottom>
      <diagonal/>
    </border>
    <border>
      <left style="thin">
        <color rgb="FFD6C59E"/>
      </left>
      <right/>
      <top/>
      <bottom/>
      <diagonal/>
    </border>
    <border>
      <left/>
      <right style="thin">
        <color rgb="FFD6C59E"/>
      </right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3" fillId="4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vertical="top" wrapText="1"/>
    </xf>
    <xf numFmtId="0" fontId="4" fillId="7" borderId="5" xfId="1" applyFont="1" applyFill="1" applyBorder="1" applyAlignment="1">
      <alignment vertical="top" wrapText="1"/>
    </xf>
    <xf numFmtId="1" fontId="4" fillId="7" borderId="5" xfId="1" applyNumberFormat="1" applyFont="1" applyFill="1" applyBorder="1" applyAlignment="1">
      <alignment vertical="top" wrapText="1"/>
    </xf>
    <xf numFmtId="0" fontId="4" fillId="8" borderId="5" xfId="1" applyFont="1" applyFill="1" applyBorder="1" applyAlignment="1">
      <alignment vertical="top" wrapText="1"/>
    </xf>
    <xf numFmtId="0" fontId="4" fillId="9" borderId="5" xfId="1" applyFont="1" applyFill="1" applyBorder="1" applyAlignment="1">
      <alignment vertical="top" wrapText="1"/>
    </xf>
    <xf numFmtId="176" fontId="4" fillId="10" borderId="5" xfId="1" applyNumberFormat="1" applyFont="1" applyFill="1" applyBorder="1" applyAlignment="1">
      <alignment vertical="top" wrapText="1"/>
    </xf>
    <xf numFmtId="0" fontId="3" fillId="11" borderId="4" xfId="1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0" xfId="0" applyFont="1"/>
    <xf numFmtId="0" fontId="10" fillId="0" borderId="0" xfId="0" applyFont="1"/>
    <xf numFmtId="177" fontId="0" fillId="0" borderId="0" xfId="0" applyNumberFormat="1"/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1" fillId="6" borderId="0" xfId="1" applyFont="1" applyFill="1" applyAlignment="1">
      <alignment horizontal="left" vertical="center"/>
    </xf>
    <xf numFmtId="0" fontId="2" fillId="3" borderId="6" xfId="1" applyFont="1" applyFill="1" applyBorder="1" applyAlignment="1">
      <alignment horizontal="left" vertical="center" wrapText="1"/>
    </xf>
    <xf numFmtId="0" fontId="2" fillId="3" borderId="7" xfId="1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horizontal="left" vertical="center" wrapText="1"/>
    </xf>
    <xf numFmtId="0" fontId="2" fillId="3" borderId="9" xfId="1" applyFont="1" applyFill="1" applyBorder="1" applyAlignment="1">
      <alignment horizontal="left" vertical="center" wrapText="1"/>
    </xf>
    <xf numFmtId="0" fontId="2" fillId="3" borderId="10" xfId="1" applyFont="1" applyFill="1" applyBorder="1" applyAlignment="1">
      <alignment horizontal="left" vertical="center" wrapText="1"/>
    </xf>
    <xf numFmtId="0" fontId="2" fillId="3" borderId="11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3" borderId="0" xfId="1" applyFont="1" applyFill="1" applyAlignment="1">
      <alignment horizontal="left" vertical="center" wrapText="1"/>
    </xf>
    <xf numFmtId="0" fontId="2" fillId="3" borderId="13" xfId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DesignTable" displayName="CardDesignTable" ref="A5:X105" totalsRowShown="0">
  <tableColumns count="24">
    <tableColumn id="1" xr3:uid="{00000000-0010-0000-0000-000001000000}" name="Card ID"/>
    <tableColumn id="2" xr3:uid="{00000000-0010-0000-0000-000002000000}" name="卡名"/>
    <tableColumn id="3" xr3:uid="{00000000-0010-0000-0000-000003000000}" name="狀態"/>
    <tableColumn id="4" xr3:uid="{00000000-0010-0000-0000-000004000000}" name="卡牌類型"/>
    <tableColumn id="5" xr3:uid="{00000000-0010-0000-0000-000005000000}" name="正規欄位"/>
    <tableColumn id="6" xr3:uid="{00000000-0010-0000-0000-000006000000}" name="階段"/>
    <tableColumn id="7" xr3:uid="{00000000-0010-0000-0000-000007000000}" name="稀有度"/>
    <tableColumn id="8" xr3:uid="{00000000-0010-0000-0000-000008000000}" name="取得來源"/>
    <tableColumn id="9" xr3:uid="{00000000-0010-0000-0000-000009000000}" name="能量"/>
    <tableColumn id="10" xr3:uid="{00000000-0010-0000-0000-00000A000000}" name="使用次數"/>
    <tableColumn id="11" xr3:uid="{00000000-0010-0000-0000-00000B000000}" name="食物成本"/>
    <tableColumn id="12" xr3:uid="{00000000-0010-0000-0000-00000C000000}" name="資源成本"/>
    <tableColumn id="13" xr3:uid="{00000000-0010-0000-0000-00000D000000}" name="獲得食物"/>
    <tableColumn id="14" xr3:uid="{00000000-0010-0000-0000-00000E000000}" name="獲得臨時食物"/>
    <tableColumn id="15" xr3:uid="{00000000-0010-0000-0000-00000F000000}" name="獲得資源"/>
    <tableColumn id="16" xr3:uid="{00000000-0010-0000-0000-000010000000}" name="獲得戰鬥力"/>
    <tableColumn id="17" xr3:uid="{00000000-0010-0000-0000-000011000000}" name="士氣變化"/>
    <tableColumn id="18" xr3:uid="{00000000-0010-0000-0000-000012000000}" name="替換機會"/>
    <tableColumn id="19" xr3:uid="{00000000-0010-0000-0000-000013000000}" name="特殊效果"/>
    <tableColumn id="20" xr3:uid="{00000000-0010-0000-0000-000014000000}" name="風險/副作用"/>
    <tableColumn id="21" xr3:uid="{00000000-0010-0000-0000-000015000000}" name="設計意圖"/>
    <tableColumn id="22" xr3:uid="{00000000-0010-0000-0000-000016000000}" name="測試重點"/>
    <tableColumn id="23" xr3:uid="{00000000-0010-0000-0000-000017000000}" name="Rough Score"/>
    <tableColumn id="24" xr3:uid="{00000000-0010-0000-0000-000018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07F4BD-DCA3-4FB7-8F89-9A9549313113}" name="表格6" displayName="表格6" ref="A1:A1048576" totalsRowShown="0">
  <autoFilter ref="A1:A1048576" xr:uid="{7E07F4BD-DCA3-4FB7-8F89-9A9549313113}"/>
  <tableColumns count="1">
    <tableColumn id="1" xr3:uid="{F1D8B837-E197-4877-BE1F-4FE94F681A17}" name="事件ID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214FC9-4F65-4F2C-83B3-66D2960457CD}" name="表格7" displayName="表格7" ref="B1:Z1048576" totalsRowShown="0">
  <autoFilter ref="B1:Z1048576" xr:uid="{33214FC9-4F65-4F2C-83B3-66D2960457CD}"/>
  <tableColumns count="25">
    <tableColumn id="22" xr3:uid="{A991CFD5-0955-44D9-8B78-5BF8A31802D9}" name="事件名稱"/>
    <tableColumn id="25" xr3:uid="{1917BB2B-D327-470E-ACEF-F0C801864646}" name="事件分類"/>
    <tableColumn id="1" xr3:uid="{00965607-DB19-47F2-91A5-7A613472D322}" name="正負分類"/>
    <tableColumn id="2" xr3:uid="{0ABCB42A-4940-4CAF-B71E-725C8E60333E}" name="影響程度"/>
    <tableColumn id="3" xr3:uid="{3F689A77-4B8A-4F8C-931D-28AE1CED62D5}" name="最早"/>
    <tableColumn id="26" xr3:uid="{522DEC01-6CE0-44DE-99D3-262DDC7F726C}" name="最晚天數"/>
    <tableColumn id="4" xr3:uid="{B75A1FD4-3D88-4DFF-9E08-89A7362C061E}" name="權重1~100"/>
    <tableColumn id="5" xr3:uid="{5752893A-4896-4902-85CD-AC782EF84A05}" name="是否一局一次"/>
    <tableColumn id="6" xr3:uid="{C6DE3861-4F4E-49FE-B4C3-F411A2188988}" name="冷卻天數"/>
    <tableColumn id="7" xr3:uid="{1B35AD9E-D795-43B9-B129-A8990F772FE7}" name="前置條件"/>
    <tableColumn id="24" xr3:uid="{45B4F5B7-F578-4565-9F7B-B2ADE9567475}" name="特殊規則"/>
    <tableColumn id="8" xr3:uid="{8C8C1679-457A-4401-AAAA-F69261E3D45E}" name="選擇欄位1"/>
    <tableColumn id="9" xr3:uid="{02394ED9-A4F6-4EDE-A3FD-93C25544B941}" name="選擇欄位2"/>
    <tableColumn id="10" xr3:uid="{DAD75D48-E0DC-48CE-8251-532CC0C34793}" name="選擇欄位3"/>
    <tableColumn id="11" xr3:uid="{8D6E2774-D837-4852-BA8C-510E713580D6}" name="文本"/>
    <tableColumn id="12" xr3:uid="{7751B152-518F-44B6-B663-999FDD472B31}" name="選擇欄位1文本"/>
    <tableColumn id="13" xr3:uid="{8AA02C72-DAC0-4E4D-BB95-35C050EAB85F}" name="選擇欄位2文本"/>
    <tableColumn id="14" xr3:uid="{00AE9519-570D-4549-BD42-2C32E2804561}" name="選擇欄位3文本"/>
    <tableColumn id="15" xr3:uid="{09D38CEE-844D-499B-8656-B4F959655AB1}" name="選擇欄位1內容文本"/>
    <tableColumn id="16" xr3:uid="{9129500F-6046-4FBE-91C4-C630F34EEC0F}" name="選擇欄位2 內容文本"/>
    <tableColumn id="17" xr3:uid="{DFD8DF62-66A8-4043-A9E8-0B2566D45E3D}" name="選擇欄位3內容文本"/>
    <tableColumn id="18" xr3:uid="{576E133C-7F36-4372-AE9A-7A093054D759}" name="欄18"/>
    <tableColumn id="19" xr3:uid="{8507C219-69BA-481D-9AAD-5D4780669A25}" name="欄19"/>
    <tableColumn id="20" xr3:uid="{DFDFA9C9-8C88-436E-9A61-C3C26AE760F2}" name="欄20"/>
    <tableColumn id="21" xr3:uid="{E37C17A4-AE39-4D59-9678-F108B521E27C}" name="欄2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861037-4CF1-4EAD-8216-FEFF4B58C4E0}" name="表格8" displayName="表格8" ref="A1:Z35" totalsRowShown="0">
  <autoFilter ref="A1:Z35" xr:uid="{0D861037-4CF1-4EAD-8216-FEFF4B58C4E0}"/>
  <tableColumns count="26">
    <tableColumn id="1" xr3:uid="{E6A616A1-1DB4-417F-ACB2-CE90CA4F5574}" name="Region ID"/>
    <tableColumn id="2" xr3:uid="{A42A2CD2-C496-4C47-BA7C-05547D7AECE2}" name="地區名稱"/>
    <tableColumn id="3" xr3:uid="{79C397FA-4749-4163-B911-A9645065CF6E}" name="階級"/>
    <tableColumn id="4" xr3:uid="{5941049D-B872-4FDD-9EBB-239E411854D3}" name="基礎危險"/>
    <tableColumn id="5" xr3:uid="{C88D9FB0-0837-4785-A6A0-76024C2C7EBE}" name="殭屍總量"/>
    <tableColumn id="6" xr3:uid="{46295D61-79E6-4908-BA33-D4C7112B75D7}" name="基礎遭遇率"/>
    <tableColumn id="7" xr3:uid="{2D26A2E1-987A-497C-BC40-0300E79538EA}" name="每次熱度"/>
    <tableColumn id="8" xr3:uid="{FC5E50AD-6A47-4456-8F0A-655DDB1D4F2E}" name="每日衰減"/>
    <tableColumn id="9" xr3:uid="{10F5BBF9-7F16-45BA-90D9-AD4944A69BE0}" name="欄9"/>
    <tableColumn id="10" xr3:uid="{05B655BB-DC27-4BDA-9F80-4A29B26CAFDF}" name="欄10"/>
    <tableColumn id="11" xr3:uid="{9F7972A9-D7E2-43B6-8DD2-53A4C50E81EC}" name="欄11"/>
    <tableColumn id="12" xr3:uid="{7AF14A4B-8C00-410A-89A2-12A539768FA7}" name="欄12"/>
    <tableColumn id="13" xr3:uid="{DB653ADA-B198-4BC6-9B74-E3F7F23FA1A3}" name="欄13"/>
    <tableColumn id="14" xr3:uid="{93AB533E-A20A-4CEA-89EE-D9997EBD7C9B}" name="欄14"/>
    <tableColumn id="15" xr3:uid="{32AD8839-59FF-4E46-9511-92E27972031C}" name="欄15"/>
    <tableColumn id="16" xr3:uid="{42C40238-14E3-4F39-8FFF-10325A48A5ED}" name="欄16"/>
    <tableColumn id="17" xr3:uid="{4ECA8DCD-F098-47E8-9C32-5EF3FF55238A}" name="欄17"/>
    <tableColumn id="18" xr3:uid="{990A95AB-5ADE-4A3B-834D-CC9C79A95C27}" name="欄18"/>
    <tableColumn id="19" xr3:uid="{36E8DDCC-FD60-4BB6-80BA-221F52CDD92F}" name="欄19"/>
    <tableColumn id="20" xr3:uid="{A164F261-9978-450A-BA0C-6075E0FB3647}" name="欄20"/>
    <tableColumn id="21" xr3:uid="{F8BD96C3-84CA-41A1-AED7-79CC0B0611CC}" name="欄21"/>
    <tableColumn id="22" xr3:uid="{312D470F-D880-4EBD-80DE-671B98663FDB}" name="欄22"/>
    <tableColumn id="23" xr3:uid="{1CF64AA8-0F98-42A3-815F-D4E9F3EC11C9}" name="欄23"/>
    <tableColumn id="24" xr3:uid="{F3C886A2-61C6-4D66-8E46-C462AD5DFBB4}" name="欄24"/>
    <tableColumn id="25" xr3:uid="{BEFA1B01-BDD7-481D-B6AB-44D8DBC7D2F6}" name="欄25"/>
    <tableColumn id="26" xr3:uid="{EDC6668D-FB02-4AA1-A05C-5DCA2646ACD0}" name="欄2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2EBAF7-50BB-474F-A090-D69F79B587F8}" name="表格8_10" displayName="表格8_10" ref="A1:Z36" totalsRowShown="0">
  <autoFilter ref="A1:Z36" xr:uid="{0D861037-4CF1-4EAD-8216-FEFF4B58C4E0}"/>
  <tableColumns count="26">
    <tableColumn id="1" xr3:uid="{9D625FF7-B8B3-4217-A95B-90E9D06D63F6}" name="Region ID"/>
    <tableColumn id="2" xr3:uid="{41B9AD0A-AAE0-40BD-961F-1B2554813E4C}" name="Pack ID"/>
    <tableColumn id="3" xr3:uid="{0F94FE37-1683-4AAE-AE00-1E2DD53D2D18}" name="卡包名稱"/>
    <tableColumn id="4" xr3:uid="{F3FAADCE-4AD6-4373-A4DF-B0D69FA1C776}" name="地區供應稀有度"/>
    <tableColumn id="5" xr3:uid="{370E181D-4A26-4320-AB7E-122B78EAAA27}" name="初始數量"/>
    <tableColumn id="6" xr3:uid="{E75A0815-D2C5-4487-A1BF-6B2124BE6F6E}" name="基礎權重"/>
    <tableColumn id="7" xr3:uid="{887B3378-F32D-416D-8E4E-0455C76C4A17}" name="剩餘數量"/>
    <tableColumn id="8" xr3:uid="{012C6C19-C8CA-4CB2-8BC5-7AAFF100432C}" name="欄8"/>
    <tableColumn id="9" xr3:uid="{336397DB-11A0-43D6-A62C-3D7AE49F9C90}" name="欄9"/>
    <tableColumn id="10" xr3:uid="{BFACFF01-F98A-4D87-893B-D44454EBA727}" name="欄10"/>
    <tableColumn id="11" xr3:uid="{BFED993A-64E5-4A33-9748-5364338EFDC3}" name="欄11"/>
    <tableColumn id="12" xr3:uid="{A5C6E120-A9C8-4D55-875C-C09E2F25B96F}" name="欄12"/>
    <tableColumn id="13" xr3:uid="{E4DBBAF8-08D4-45ED-8966-F66DBF568F1C}" name="欄13"/>
    <tableColumn id="14" xr3:uid="{166A6376-95B6-4050-95DC-F2384A4086A3}" name="欄14"/>
    <tableColumn id="15" xr3:uid="{657A03A5-4039-464A-B202-B1FC2BAD96B7}" name="欄15"/>
    <tableColumn id="16" xr3:uid="{609130CC-02DF-43B7-B88C-C202C01543DD}" name="欄16"/>
    <tableColumn id="17" xr3:uid="{606E2D7C-35AC-435E-85F9-A17A72849AF9}" name="欄17"/>
    <tableColumn id="18" xr3:uid="{5BE4274C-80B6-4690-A5C3-448D36791AB1}" name="欄18"/>
    <tableColumn id="19" xr3:uid="{ECBEC540-1A66-4ADD-BC49-A991A0D7FDEF}" name="欄19"/>
    <tableColumn id="20" xr3:uid="{56037ABD-C76E-427C-B310-0809861605FD}" name="欄20"/>
    <tableColumn id="21" xr3:uid="{34F40FA6-D6FD-45EA-8709-7FD074A0824C}" name="欄21"/>
    <tableColumn id="22" xr3:uid="{EF729BFC-62F3-4D71-98D2-47DBAB8923E1}" name="欄22"/>
    <tableColumn id="23" xr3:uid="{52CDCEA3-67D0-4EF4-ABC2-4AC4737F6913}" name="欄23"/>
    <tableColumn id="24" xr3:uid="{0CC2F7D0-0040-497E-ABD4-0FD5E3D4FB26}" name="欄24"/>
    <tableColumn id="25" xr3:uid="{C2DE344F-7E8F-4A36-9C3E-7E5CC7A854B4}" name="欄25"/>
    <tableColumn id="26" xr3:uid="{C959A2C4-CBA5-4B4F-9D0E-80EEF48441E1}" name="欄2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ffectDictionaryTable" displayName="EffectDictionaryTable" ref="A5:F21" totalsRowShown="0">
  <tableColumns count="6">
    <tableColumn id="1" xr3:uid="{00000000-0010-0000-0100-000001000000}" name="分類"/>
    <tableColumn id="2" xr3:uid="{00000000-0010-0000-0100-000002000000}" name="效果名稱"/>
    <tableColumn id="3" xr3:uid="{00000000-0010-0000-0100-000003000000}" name="建議寫法"/>
    <tableColumn id="4" xr3:uid="{00000000-0010-0000-0100-000004000000}" name="目前系統支援"/>
    <tableColumn id="5" xr3:uid="{00000000-0010-0000-0100-000005000000}" name="常見用途"/>
    <tableColumn id="6" xr3:uid="{00000000-0010-0000-0100-000006000000}" name="備註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AndPacksTable" displayName="SourcesAndPacksTable" ref="A5:H12" totalsRowShown="0">
  <tableColumns count="8">
    <tableColumn id="1" xr3:uid="{00000000-0010-0000-0200-000001000000}" name="來源"/>
    <tableColumn id="2" xr3:uid="{00000000-0010-0000-0200-000002000000}" name="解鎖時機"/>
    <tableColumn id="3" xr3:uid="{00000000-0010-0000-0200-000003000000}" name="主要卡牌類型"/>
    <tableColumn id="4" xr3:uid="{00000000-0010-0000-0200-000004000000}" name="推薦強度"/>
    <tableColumn id="5" xr3:uid="{00000000-0010-0000-0200-000005000000}" name="風險"/>
    <tableColumn id="6" xr3:uid="{00000000-0010-0000-0200-000006000000}" name="設計目的"/>
    <tableColumn id="7" xr3:uid="{00000000-0010-0000-0200-000007000000}" name="範例"/>
    <tableColumn id="8" xr3:uid="{00000000-0010-0000-0200-000008000000}" name="備註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rdPackDefinitions" displayName="CardPackDefinitions" ref="A5:N10" totalsRowShown="0">
  <tableColumns count="14">
    <tableColumn id="1" xr3:uid="{00000000-0010-0000-0300-000001000000}" name="Pack ID"/>
    <tableColumn id="2" xr3:uid="{00000000-0010-0000-0300-000002000000}" name="卡包名稱"/>
    <tableColumn id="3" xr3:uid="{00000000-0010-0000-0300-000003000000}" name="狀態"/>
    <tableColumn id="4" xr3:uid="{00000000-0010-0000-0300-000004000000}" name="卡包類型"/>
    <tableColumn id="5" xr3:uid="{00000000-0010-0000-0300-000005000000}" name="階段"/>
    <tableColumn id="6" xr3:uid="{00000000-0010-0000-0300-000006000000}" name="稀有度"/>
    <tableColumn id="7" xr3:uid="{00000000-0010-0000-0300-000007000000}" name="來源/地區"/>
    <tableColumn id="8" xr3:uid="{00000000-0010-0000-0300-000008000000}" name="每包張數"/>
    <tableColumn id="9" xr3:uid="{00000000-0010-0000-0300-000009000000}" name="是否可重複"/>
    <tableColumn id="10" xr3:uid="{00000000-0010-0000-0300-00000A000000}" name="正常卡去向"/>
    <tableColumn id="11" xr3:uid="{00000000-0010-0000-0300-00000B000000}" name="殭屍卡去向"/>
    <tableColumn id="12" xr3:uid="{00000000-0010-0000-0300-00000C000000}" name="風險設計"/>
    <tableColumn id="13" xr3:uid="{00000000-0010-0000-0300-00000D000000}" name="設計意圖"/>
    <tableColumn id="14" xr3:uid="{00000000-0010-0000-0300-00000E000000}" name="備註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rdPackEntries" displayName="CardPackEntries" ref="A12:N80" totalsRowShown="0">
  <tableColumns count="14">
    <tableColumn id="1" xr3:uid="{00000000-0010-0000-0400-000001000000}" name="Pack ID"/>
    <tableColumn id="2" xr3:uid="{00000000-0010-0000-0400-000002000000}" name="Entry ID"/>
    <tableColumn id="3" xr3:uid="{00000000-0010-0000-0400-000003000000}" name="卡名"/>
    <tableColumn id="4" xr3:uid="{00000000-0010-0000-0400-000004000000}" name="Card ID"/>
    <tableColumn id="5" xr3:uid="{00000000-0010-0000-0400-000005000000}" name="卡牌類型"/>
    <tableColumn id="6" xr3:uid="{00000000-0010-0000-0400-000006000000}" name="稀有度"/>
    <tableColumn id="7" xr3:uid="{00000000-0010-0000-0400-000007000000}" name="權重"/>
    <tableColumn id="8" xr3:uid="{00000000-0010-0000-0400-000008000000}" name="最小張數"/>
    <tableColumn id="9" xr3:uid="{00000000-0010-0000-0400-000009000000}" name="最大張數"/>
    <tableColumn id="10" xr3:uid="{00000000-0010-0000-0400-00000A000000}" name="是否地區限定"/>
    <tableColumn id="11" xr3:uid="{00000000-0010-0000-0400-00000B000000}" name="限定地區"/>
    <tableColumn id="12" xr3:uid="{00000000-0010-0000-0400-00000C000000}" name="抽到後去向"/>
    <tableColumn id="13" xr3:uid="{00000000-0010-0000-0400-00000D000000}" name="設計備註"/>
    <tableColumn id="14" xr3:uid="{00000000-0010-0000-0400-00000E000000}" name="測試重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sqref="A1:H1"/>
    </sheetView>
  </sheetViews>
  <sheetFormatPr defaultRowHeight="14.25"/>
  <cols>
    <col min="1" max="1" width="18" customWidth="1"/>
    <col min="2" max="2" width="42" customWidth="1"/>
    <col min="3" max="3" width="4" customWidth="1"/>
    <col min="4" max="4" width="18" customWidth="1"/>
    <col min="5" max="5" width="14" customWidth="1"/>
    <col min="6" max="6" width="26" customWidth="1"/>
    <col min="7" max="7" width="16" customWidth="1"/>
    <col min="8" max="8" width="30" customWidth="1"/>
  </cols>
  <sheetData>
    <row r="1" spans="1:8" ht="27.95" customHeight="1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</row>
    <row r="3" spans="1:8" ht="32.1" customHeight="1">
      <c r="A3" s="14" t="s">
        <v>1</v>
      </c>
      <c r="B3" s="15" t="s">
        <v>1</v>
      </c>
      <c r="C3" s="15" t="s">
        <v>1</v>
      </c>
      <c r="D3" s="15" t="s">
        <v>1</v>
      </c>
      <c r="E3" s="15" t="s">
        <v>1</v>
      </c>
      <c r="F3" s="15" t="s">
        <v>1</v>
      </c>
      <c r="G3" s="15" t="s">
        <v>1</v>
      </c>
      <c r="H3" s="16" t="s">
        <v>1</v>
      </c>
    </row>
    <row r="5" spans="1:8" ht="26.1" customHeight="1">
      <c r="A5" s="1" t="s">
        <v>2</v>
      </c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26.1" customHeight="1">
      <c r="A6" s="2" t="s">
        <v>8</v>
      </c>
      <c r="B6" s="2" t="s">
        <v>9</v>
      </c>
      <c r="C6" s="2"/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ht="26.1" customHeight="1">
      <c r="A7" s="2" t="s">
        <v>15</v>
      </c>
      <c r="B7" s="2" t="s">
        <v>16</v>
      </c>
      <c r="C7" s="2"/>
      <c r="D7" s="2" t="s">
        <v>17</v>
      </c>
      <c r="E7" s="2" t="s">
        <v>11</v>
      </c>
      <c r="F7" s="2" t="s">
        <v>18</v>
      </c>
      <c r="G7" s="2" t="s">
        <v>13</v>
      </c>
      <c r="H7" s="2" t="s">
        <v>19</v>
      </c>
    </row>
    <row r="8" spans="1:8" ht="26.1" customHeight="1">
      <c r="A8" s="2" t="s">
        <v>20</v>
      </c>
      <c r="B8" s="2" t="s">
        <v>21</v>
      </c>
      <c r="C8" s="2"/>
      <c r="D8" s="2" t="s">
        <v>22</v>
      </c>
      <c r="E8" s="2" t="s">
        <v>23</v>
      </c>
      <c r="F8" s="2" t="s">
        <v>24</v>
      </c>
      <c r="G8" s="2" t="s">
        <v>13</v>
      </c>
      <c r="H8" s="2" t="s">
        <v>25</v>
      </c>
    </row>
    <row r="9" spans="1:8" ht="26.1" customHeight="1">
      <c r="A9" s="2" t="s">
        <v>26</v>
      </c>
      <c r="B9" s="2" t="s">
        <v>27</v>
      </c>
      <c r="C9" s="2"/>
      <c r="D9" s="2" t="s">
        <v>28</v>
      </c>
      <c r="E9" s="2" t="s">
        <v>29</v>
      </c>
      <c r="F9" s="2" t="s">
        <v>30</v>
      </c>
      <c r="G9" s="2" t="s">
        <v>13</v>
      </c>
      <c r="H9" s="2" t="s">
        <v>31</v>
      </c>
    </row>
    <row r="10" spans="1:8" ht="26.1" customHeight="1">
      <c r="A10" s="2" t="s">
        <v>32</v>
      </c>
      <c r="B10" s="2" t="s">
        <v>33</v>
      </c>
      <c r="C10" s="2"/>
      <c r="D10" s="2" t="s">
        <v>34</v>
      </c>
      <c r="E10" s="2" t="s">
        <v>29</v>
      </c>
      <c r="F10" s="2" t="s">
        <v>35</v>
      </c>
      <c r="G10" s="2" t="s">
        <v>36</v>
      </c>
      <c r="H10" s="2" t="s">
        <v>37</v>
      </c>
    </row>
    <row r="11" spans="1:8" ht="26.1" customHeight="1">
      <c r="A11" s="2" t="s">
        <v>38</v>
      </c>
      <c r="B11" s="2" t="s">
        <v>39</v>
      </c>
      <c r="C11" s="2"/>
      <c r="D11" s="2" t="s">
        <v>40</v>
      </c>
      <c r="E11" s="2" t="s">
        <v>41</v>
      </c>
      <c r="F11" s="2" t="s">
        <v>42</v>
      </c>
      <c r="G11" s="2" t="s">
        <v>36</v>
      </c>
      <c r="H11" s="2" t="s">
        <v>43</v>
      </c>
    </row>
    <row r="12" spans="1:8" ht="26.1" customHeight="1">
      <c r="A12" s="2" t="s">
        <v>44</v>
      </c>
      <c r="B12" s="2" t="s">
        <v>45</v>
      </c>
      <c r="C12" s="2"/>
      <c r="D12" s="2" t="s">
        <v>46</v>
      </c>
      <c r="E12" s="2" t="s">
        <v>41</v>
      </c>
      <c r="F12" s="2" t="s">
        <v>47</v>
      </c>
      <c r="G12" s="2" t="s">
        <v>36</v>
      </c>
      <c r="H12" s="2" t="s">
        <v>48</v>
      </c>
    </row>
    <row r="13" spans="1:8" ht="26.1" customHeight="1">
      <c r="A13" s="2" t="s">
        <v>49</v>
      </c>
      <c r="B13" s="2" t="s">
        <v>50</v>
      </c>
      <c r="C13" s="2"/>
      <c r="D13" s="2" t="s">
        <v>51</v>
      </c>
      <c r="E13" s="2" t="s">
        <v>52</v>
      </c>
      <c r="F13" s="2" t="s">
        <v>53</v>
      </c>
      <c r="G13" s="2" t="s">
        <v>54</v>
      </c>
      <c r="H13" s="2" t="s">
        <v>55</v>
      </c>
    </row>
    <row r="14" spans="1:8" ht="26.1" customHeight="1">
      <c r="A14" s="2" t="s">
        <v>7</v>
      </c>
      <c r="B14" s="2" t="s">
        <v>56</v>
      </c>
      <c r="C14" s="2"/>
      <c r="D14" s="2"/>
      <c r="E14" s="2"/>
      <c r="F14" s="2"/>
      <c r="G14" s="2"/>
      <c r="H14" s="2"/>
    </row>
  </sheetData>
  <mergeCells count="2">
    <mergeCell ref="A1:H1"/>
    <mergeCell ref="A3:H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5"/>
  <sheetViews>
    <sheetView showGridLines="0" topLeftCell="A4" workbookViewId="0">
      <selection activeCell="C6" sqref="C6"/>
    </sheetView>
  </sheetViews>
  <sheetFormatPr defaultRowHeight="14.25"/>
  <cols>
    <col min="1" max="1" width="18" customWidth="1"/>
    <col min="2" max="2" width="24" customWidth="1"/>
    <col min="3" max="3" width="12" customWidth="1"/>
    <col min="4" max="5" width="14" customWidth="1"/>
    <col min="6" max="7" width="12" customWidth="1"/>
    <col min="8" max="8" width="18" customWidth="1"/>
    <col min="9" max="9" width="8" customWidth="1"/>
    <col min="10" max="10" width="12" customWidth="1"/>
    <col min="11" max="13" width="10" customWidth="1"/>
    <col min="14" max="14" width="12" customWidth="1"/>
    <col min="15" max="15" width="10" customWidth="1"/>
    <col min="16" max="16" width="12" customWidth="1"/>
    <col min="17" max="18" width="10" customWidth="1"/>
    <col min="19" max="19" width="36" customWidth="1"/>
    <col min="20" max="20" width="28" customWidth="1"/>
    <col min="21" max="22" width="42" customWidth="1"/>
    <col min="23" max="23" width="12" customWidth="1"/>
    <col min="24" max="24" width="32" customWidth="1"/>
  </cols>
  <sheetData>
    <row r="1" spans="1:24" ht="27.95" customHeight="1">
      <c r="A1" s="17" t="s">
        <v>462</v>
      </c>
      <c r="B1" s="17" t="s">
        <v>57</v>
      </c>
      <c r="C1" s="17" t="s">
        <v>57</v>
      </c>
      <c r="D1" s="17" t="s">
        <v>57</v>
      </c>
      <c r="E1" s="17" t="s">
        <v>57</v>
      </c>
      <c r="F1" s="17" t="s">
        <v>57</v>
      </c>
      <c r="G1" s="17" t="s">
        <v>57</v>
      </c>
      <c r="H1" s="17" t="s">
        <v>57</v>
      </c>
      <c r="I1" s="17" t="s">
        <v>57</v>
      </c>
      <c r="J1" s="17" t="s">
        <v>57</v>
      </c>
      <c r="K1" s="17" t="s">
        <v>57</v>
      </c>
      <c r="L1" s="17" t="s">
        <v>57</v>
      </c>
      <c r="M1" s="17" t="s">
        <v>57</v>
      </c>
      <c r="N1" s="17" t="s">
        <v>57</v>
      </c>
      <c r="O1" s="17" t="s">
        <v>57</v>
      </c>
      <c r="P1" s="17" t="s">
        <v>57</v>
      </c>
      <c r="Q1" s="17" t="s">
        <v>57</v>
      </c>
      <c r="R1" s="17" t="s">
        <v>57</v>
      </c>
      <c r="S1" s="17" t="s">
        <v>57</v>
      </c>
      <c r="T1" s="17" t="s">
        <v>57</v>
      </c>
      <c r="U1" s="17" t="s">
        <v>57</v>
      </c>
      <c r="V1" s="17" t="s">
        <v>57</v>
      </c>
      <c r="W1" s="17" t="s">
        <v>57</v>
      </c>
      <c r="X1" s="17" t="s">
        <v>57</v>
      </c>
    </row>
    <row r="3" spans="1:24" ht="36" customHeight="1">
      <c r="A3" s="14" t="s">
        <v>58</v>
      </c>
      <c r="B3" s="15" t="s">
        <v>58</v>
      </c>
      <c r="C3" s="15" t="s">
        <v>58</v>
      </c>
      <c r="D3" s="15" t="s">
        <v>58</v>
      </c>
      <c r="E3" s="15" t="s">
        <v>58</v>
      </c>
      <c r="F3" s="15" t="s">
        <v>58</v>
      </c>
      <c r="G3" s="15" t="s">
        <v>58</v>
      </c>
      <c r="H3" s="15" t="s">
        <v>58</v>
      </c>
      <c r="I3" s="15" t="s">
        <v>58</v>
      </c>
      <c r="J3" s="15" t="s">
        <v>58</v>
      </c>
      <c r="K3" s="15" t="s">
        <v>58</v>
      </c>
      <c r="L3" s="15" t="s">
        <v>58</v>
      </c>
      <c r="M3" s="15" t="s">
        <v>58</v>
      </c>
      <c r="N3" s="15" t="s">
        <v>58</v>
      </c>
      <c r="O3" s="15" t="s">
        <v>58</v>
      </c>
      <c r="P3" s="15" t="s">
        <v>58</v>
      </c>
      <c r="Q3" s="15" t="s">
        <v>58</v>
      </c>
      <c r="R3" s="15" t="s">
        <v>58</v>
      </c>
      <c r="S3" s="15" t="s">
        <v>58</v>
      </c>
      <c r="T3" s="15" t="s">
        <v>58</v>
      </c>
      <c r="U3" s="15" t="s">
        <v>58</v>
      </c>
      <c r="V3" s="15" t="s">
        <v>58</v>
      </c>
      <c r="W3" s="15" t="s">
        <v>58</v>
      </c>
      <c r="X3" s="16" t="s">
        <v>58</v>
      </c>
    </row>
    <row r="5" spans="1:24" ht="27.95" customHeight="1">
      <c r="A5" s="1" t="s">
        <v>59</v>
      </c>
      <c r="B5" s="1" t="s">
        <v>8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74</v>
      </c>
      <c r="R5" s="1" t="s">
        <v>75</v>
      </c>
      <c r="S5" s="1" t="s">
        <v>76</v>
      </c>
      <c r="T5" s="1" t="s">
        <v>77</v>
      </c>
      <c r="U5" s="1" t="s">
        <v>78</v>
      </c>
      <c r="V5" s="1" t="s">
        <v>79</v>
      </c>
      <c r="W5" s="1" t="s">
        <v>80</v>
      </c>
      <c r="X5" s="1" t="s">
        <v>7</v>
      </c>
    </row>
    <row r="6" spans="1:24" ht="38.1" customHeight="1">
      <c r="A6" s="5" t="s">
        <v>81</v>
      </c>
      <c r="B6" s="5" t="s">
        <v>82</v>
      </c>
      <c r="C6" s="5" t="s">
        <v>83</v>
      </c>
      <c r="D6" s="5" t="s">
        <v>84</v>
      </c>
      <c r="E6" s="5" t="s">
        <v>84</v>
      </c>
      <c r="F6" s="5" t="s">
        <v>85</v>
      </c>
      <c r="G6" s="5" t="s">
        <v>86</v>
      </c>
      <c r="H6" s="5" t="s">
        <v>87</v>
      </c>
      <c r="I6" s="4">
        <v>1</v>
      </c>
      <c r="J6" s="4"/>
      <c r="K6" s="4">
        <v>0</v>
      </c>
      <c r="L6" s="4">
        <v>0</v>
      </c>
      <c r="M6" s="4"/>
      <c r="N6" s="4">
        <v>2</v>
      </c>
      <c r="O6" s="4">
        <v>0</v>
      </c>
      <c r="P6" s="4">
        <v>0</v>
      </c>
      <c r="Q6" s="4">
        <v>0</v>
      </c>
      <c r="R6" s="4">
        <v>0</v>
      </c>
      <c r="S6" s="6" t="s">
        <v>88</v>
      </c>
      <c r="T6" s="6"/>
      <c r="U6" s="6" t="s">
        <v>89</v>
      </c>
      <c r="V6" s="6" t="s">
        <v>90</v>
      </c>
      <c r="W6" s="7">
        <f t="shared" ref="W6:W37" si="0">IF(COUNTA(A6:V6)=0,"",N(M6)/2+N(N6)/3+N(O6)+N(P6)*1.5+N(Q6)/5+N(R6)*2-N(I6)-N(K6)*0.5-N(L6))</f>
        <v>-0.33333333333333337</v>
      </c>
      <c r="X6" s="6"/>
    </row>
    <row r="7" spans="1:24" ht="38.1" customHeight="1">
      <c r="A7" s="5" t="s">
        <v>91</v>
      </c>
      <c r="B7" s="5" t="s">
        <v>92</v>
      </c>
      <c r="C7" s="5" t="s">
        <v>83</v>
      </c>
      <c r="D7" s="5" t="s">
        <v>93</v>
      </c>
      <c r="E7" s="5" t="s">
        <v>93</v>
      </c>
      <c r="F7" s="5" t="s">
        <v>85</v>
      </c>
      <c r="G7" s="5" t="s">
        <v>86</v>
      </c>
      <c r="H7" s="5" t="s">
        <v>87</v>
      </c>
      <c r="I7" s="4">
        <v>2</v>
      </c>
      <c r="J7" s="4"/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6" t="s">
        <v>94</v>
      </c>
      <c r="T7" s="6"/>
      <c r="U7" s="6" t="s">
        <v>95</v>
      </c>
      <c r="V7" s="6" t="s">
        <v>96</v>
      </c>
      <c r="W7" s="7">
        <f t="shared" si="0"/>
        <v>-1</v>
      </c>
      <c r="X7" s="6"/>
    </row>
    <row r="8" spans="1:24" ht="38.1" customHeight="1">
      <c r="A8" s="5" t="s">
        <v>97</v>
      </c>
      <c r="B8" s="5" t="s">
        <v>98</v>
      </c>
      <c r="C8" s="5" t="s">
        <v>83</v>
      </c>
      <c r="D8" s="5" t="s">
        <v>99</v>
      </c>
      <c r="E8" s="5" t="s">
        <v>99</v>
      </c>
      <c r="F8" s="5" t="s">
        <v>85</v>
      </c>
      <c r="G8" s="5" t="s">
        <v>86</v>
      </c>
      <c r="H8" s="5" t="s">
        <v>87</v>
      </c>
      <c r="I8" s="4">
        <v>3</v>
      </c>
      <c r="J8" s="4"/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</v>
      </c>
      <c r="Q8" s="4">
        <v>0</v>
      </c>
      <c r="R8" s="4">
        <v>0</v>
      </c>
      <c r="S8" s="6" t="s">
        <v>100</v>
      </c>
      <c r="T8" s="6"/>
      <c r="U8" s="6" t="s">
        <v>101</v>
      </c>
      <c r="V8" s="6" t="s">
        <v>102</v>
      </c>
      <c r="W8" s="7">
        <f t="shared" si="0"/>
        <v>0</v>
      </c>
      <c r="X8" s="6"/>
    </row>
    <row r="9" spans="1:24" ht="38.1" customHeight="1">
      <c r="A9" s="5"/>
      <c r="B9" s="5" t="s">
        <v>103</v>
      </c>
      <c r="C9" s="5" t="s">
        <v>83</v>
      </c>
      <c r="D9" s="5" t="s">
        <v>104</v>
      </c>
      <c r="E9" s="5" t="s">
        <v>105</v>
      </c>
      <c r="F9" s="5" t="s">
        <v>85</v>
      </c>
      <c r="G9" s="5" t="s">
        <v>86</v>
      </c>
      <c r="H9" s="5" t="s">
        <v>87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6" t="s">
        <v>106</v>
      </c>
      <c r="T9" s="6"/>
      <c r="U9" s="6" t="s">
        <v>107</v>
      </c>
      <c r="V9" s="6" t="s">
        <v>108</v>
      </c>
      <c r="W9" s="7">
        <f t="shared" si="0"/>
        <v>0</v>
      </c>
      <c r="X9" s="6"/>
    </row>
    <row r="10" spans="1:24" ht="38.1" customHeight="1">
      <c r="A10" s="5" t="s">
        <v>109</v>
      </c>
      <c r="B10" s="5" t="s">
        <v>110</v>
      </c>
      <c r="C10" s="5" t="s">
        <v>83</v>
      </c>
      <c r="D10" s="5" t="s">
        <v>111</v>
      </c>
      <c r="E10" s="5" t="s">
        <v>111</v>
      </c>
      <c r="F10" s="5" t="s">
        <v>85</v>
      </c>
      <c r="G10" s="5" t="s">
        <v>112</v>
      </c>
      <c r="H10" s="5" t="s">
        <v>113</v>
      </c>
      <c r="I10" s="4">
        <v>1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6" t="s">
        <v>114</v>
      </c>
      <c r="T10" s="6" t="s">
        <v>115</v>
      </c>
      <c r="U10" s="6" t="s">
        <v>116</v>
      </c>
      <c r="V10" s="6" t="s">
        <v>117</v>
      </c>
      <c r="W10" s="7">
        <f t="shared" si="0"/>
        <v>-1</v>
      </c>
      <c r="X10" s="6"/>
    </row>
    <row r="11" spans="1:24" ht="38.1" customHeight="1">
      <c r="A11" s="5" t="s">
        <v>118</v>
      </c>
      <c r="B11" s="5" t="s">
        <v>119</v>
      </c>
      <c r="C11" s="5" t="s">
        <v>83</v>
      </c>
      <c r="D11" s="5" t="s">
        <v>120</v>
      </c>
      <c r="E11" s="5" t="s">
        <v>84</v>
      </c>
      <c r="F11" s="5" t="s">
        <v>85</v>
      </c>
      <c r="G11" s="5" t="s">
        <v>112</v>
      </c>
      <c r="H11" s="5" t="s">
        <v>113</v>
      </c>
      <c r="I11" s="4">
        <v>0</v>
      </c>
      <c r="J11" s="4">
        <v>3</v>
      </c>
      <c r="K11" s="4">
        <v>2</v>
      </c>
      <c r="L11" s="4">
        <v>0</v>
      </c>
      <c r="M11" s="4">
        <v>0</v>
      </c>
      <c r="N11" s="4">
        <v>6</v>
      </c>
      <c r="O11" s="4">
        <v>0</v>
      </c>
      <c r="P11" s="4">
        <v>0</v>
      </c>
      <c r="Q11" s="4">
        <v>0</v>
      </c>
      <c r="R11" s="4">
        <v>0</v>
      </c>
      <c r="S11" s="6" t="s">
        <v>121</v>
      </c>
      <c r="T11" s="6" t="s">
        <v>122</v>
      </c>
      <c r="U11" s="6" t="s">
        <v>123</v>
      </c>
      <c r="V11" s="6" t="s">
        <v>124</v>
      </c>
      <c r="W11" s="7">
        <f t="shared" si="0"/>
        <v>1</v>
      </c>
      <c r="X11" s="6"/>
    </row>
    <row r="12" spans="1:24" ht="38.1" customHeight="1">
      <c r="A12" s="5" t="s">
        <v>125</v>
      </c>
      <c r="B12" s="5" t="s">
        <v>126</v>
      </c>
      <c r="C12" s="5" t="s">
        <v>83</v>
      </c>
      <c r="D12" s="5" t="s">
        <v>127</v>
      </c>
      <c r="E12" s="5" t="s">
        <v>105</v>
      </c>
      <c r="F12" s="5" t="s">
        <v>85</v>
      </c>
      <c r="G12" s="5" t="s">
        <v>112</v>
      </c>
      <c r="H12" s="5" t="s">
        <v>113</v>
      </c>
      <c r="I12" s="4">
        <v>1</v>
      </c>
      <c r="J12" s="4"/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</v>
      </c>
      <c r="S12" s="6" t="s">
        <v>128</v>
      </c>
      <c r="T12" s="6"/>
      <c r="U12" s="6" t="s">
        <v>129</v>
      </c>
      <c r="V12" s="6" t="s">
        <v>130</v>
      </c>
      <c r="W12" s="7">
        <f t="shared" si="0"/>
        <v>1</v>
      </c>
      <c r="X12" s="6"/>
    </row>
    <row r="13" spans="1:24" ht="38.1" customHeight="1">
      <c r="A13" s="5" t="s">
        <v>131</v>
      </c>
      <c r="B13" s="5" t="s">
        <v>132</v>
      </c>
      <c r="C13" s="5" t="s">
        <v>83</v>
      </c>
      <c r="D13" s="5" t="s">
        <v>133</v>
      </c>
      <c r="E13" s="5" t="s">
        <v>134</v>
      </c>
      <c r="F13" s="5" t="s">
        <v>85</v>
      </c>
      <c r="G13" s="5" t="s">
        <v>112</v>
      </c>
      <c r="H13" s="5" t="s">
        <v>135</v>
      </c>
      <c r="I13" s="4">
        <v>0</v>
      </c>
      <c r="J13" s="4"/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-2</v>
      </c>
      <c r="R13" s="4">
        <v>0</v>
      </c>
      <c r="S13" s="6" t="s">
        <v>136</v>
      </c>
      <c r="T13" s="6" t="s">
        <v>137</v>
      </c>
      <c r="U13" s="6" t="s">
        <v>138</v>
      </c>
      <c r="V13" s="6" t="s">
        <v>139</v>
      </c>
      <c r="W13" s="7">
        <f t="shared" si="0"/>
        <v>-0.4</v>
      </c>
      <c r="X13" s="6"/>
    </row>
    <row r="14" spans="1:24" ht="38.1" customHeight="1">
      <c r="A14" s="5"/>
      <c r="B14" s="5" t="s">
        <v>140</v>
      </c>
      <c r="C14" s="5" t="s">
        <v>83</v>
      </c>
      <c r="D14" s="5" t="s">
        <v>84</v>
      </c>
      <c r="E14" s="5" t="s">
        <v>84</v>
      </c>
      <c r="F14" s="5" t="s">
        <v>85</v>
      </c>
      <c r="G14" s="5" t="s">
        <v>112</v>
      </c>
      <c r="H14" s="5" t="s">
        <v>141</v>
      </c>
      <c r="I14" s="4">
        <v>1</v>
      </c>
      <c r="J14" s="4">
        <v>2</v>
      </c>
      <c r="K14" s="4"/>
      <c r="L14" s="4"/>
      <c r="M14" s="4">
        <v>2</v>
      </c>
      <c r="N14" s="4"/>
      <c r="O14" s="4"/>
      <c r="P14" s="4"/>
      <c r="Q14" s="4"/>
      <c r="R14" s="4"/>
      <c r="S14" s="6" t="s">
        <v>142</v>
      </c>
      <c r="T14" s="6"/>
      <c r="U14" s="6" t="s">
        <v>143</v>
      </c>
      <c r="V14" s="6" t="s">
        <v>144</v>
      </c>
      <c r="W14" s="7">
        <f t="shared" si="0"/>
        <v>0</v>
      </c>
      <c r="X14" s="6"/>
    </row>
    <row r="15" spans="1:24" ht="38.1" customHeight="1">
      <c r="A15" s="5"/>
      <c r="B15" s="5" t="s">
        <v>145</v>
      </c>
      <c r="C15" s="5" t="s">
        <v>83</v>
      </c>
      <c r="D15" s="5" t="s">
        <v>84</v>
      </c>
      <c r="E15" s="5" t="s">
        <v>84</v>
      </c>
      <c r="F15" s="5" t="s">
        <v>85</v>
      </c>
      <c r="G15" s="5" t="s">
        <v>112</v>
      </c>
      <c r="H15" s="5" t="s">
        <v>141</v>
      </c>
      <c r="I15" s="4">
        <v>2</v>
      </c>
      <c r="J15" s="4">
        <v>4</v>
      </c>
      <c r="K15" s="4"/>
      <c r="L15" s="4"/>
      <c r="M15" s="4">
        <v>3</v>
      </c>
      <c r="N15" s="4"/>
      <c r="O15" s="4"/>
      <c r="P15" s="4"/>
      <c r="Q15" s="4"/>
      <c r="R15" s="4"/>
      <c r="S15" s="6" t="s">
        <v>146</v>
      </c>
      <c r="T15" s="6"/>
      <c r="U15" s="6" t="s">
        <v>147</v>
      </c>
      <c r="V15" s="6" t="s">
        <v>144</v>
      </c>
      <c r="W15" s="7">
        <f t="shared" si="0"/>
        <v>-0.5</v>
      </c>
      <c r="X15" s="6"/>
    </row>
    <row r="16" spans="1:24" ht="38.1" customHeight="1">
      <c r="A16" s="5"/>
      <c r="B16" s="5" t="s">
        <v>148</v>
      </c>
      <c r="C16" s="5" t="s">
        <v>83</v>
      </c>
      <c r="D16" s="5" t="s">
        <v>84</v>
      </c>
      <c r="E16" s="5" t="s">
        <v>84</v>
      </c>
      <c r="F16" s="5" t="s">
        <v>85</v>
      </c>
      <c r="G16" s="5" t="s">
        <v>112</v>
      </c>
      <c r="H16" s="5" t="s">
        <v>141</v>
      </c>
      <c r="I16" s="4">
        <v>1</v>
      </c>
      <c r="J16" s="4">
        <v>1</v>
      </c>
      <c r="K16" s="4"/>
      <c r="L16" s="4"/>
      <c r="M16" s="4">
        <v>2</v>
      </c>
      <c r="N16" s="4"/>
      <c r="O16" s="4"/>
      <c r="P16" s="4"/>
      <c r="Q16" s="4">
        <v>2</v>
      </c>
      <c r="R16" s="4"/>
      <c r="S16" s="6" t="s">
        <v>149</v>
      </c>
      <c r="T16" s="6"/>
      <c r="U16" s="6" t="s">
        <v>150</v>
      </c>
      <c r="V16" s="6" t="s">
        <v>144</v>
      </c>
      <c r="W16" s="7">
        <f t="shared" si="0"/>
        <v>0.39999999999999991</v>
      </c>
      <c r="X16" s="6"/>
    </row>
    <row r="17" spans="1:24" ht="38.1" customHeight="1">
      <c r="A17" s="5"/>
      <c r="B17" s="5" t="s">
        <v>151</v>
      </c>
      <c r="C17" s="5" t="s">
        <v>83</v>
      </c>
      <c r="D17" s="5" t="s">
        <v>84</v>
      </c>
      <c r="E17" s="5" t="s">
        <v>84</v>
      </c>
      <c r="F17" s="5" t="s">
        <v>85</v>
      </c>
      <c r="G17" s="5" t="s">
        <v>152</v>
      </c>
      <c r="H17" s="5" t="s">
        <v>141</v>
      </c>
      <c r="I17" s="4">
        <v>2</v>
      </c>
      <c r="J17" s="4">
        <v>2</v>
      </c>
      <c r="K17" s="4"/>
      <c r="L17" s="4"/>
      <c r="M17" s="4">
        <v>6</v>
      </c>
      <c r="N17" s="4"/>
      <c r="O17" s="4"/>
      <c r="P17" s="4"/>
      <c r="Q17" s="4"/>
      <c r="R17" s="4"/>
      <c r="S17" s="6" t="s">
        <v>153</v>
      </c>
      <c r="T17" s="6"/>
      <c r="U17" s="6" t="s">
        <v>154</v>
      </c>
      <c r="V17" s="6" t="s">
        <v>144</v>
      </c>
      <c r="W17" s="7">
        <f t="shared" si="0"/>
        <v>1</v>
      </c>
      <c r="X17" s="6" t="s">
        <v>155</v>
      </c>
    </row>
    <row r="18" spans="1:24" ht="38.1" customHeight="1">
      <c r="A18" s="5"/>
      <c r="B18" s="5" t="s">
        <v>156</v>
      </c>
      <c r="C18" s="5" t="s">
        <v>83</v>
      </c>
      <c r="D18" s="5" t="s">
        <v>93</v>
      </c>
      <c r="E18" s="5" t="s">
        <v>93</v>
      </c>
      <c r="F18" s="5" t="s">
        <v>85</v>
      </c>
      <c r="G18" s="5" t="s">
        <v>112</v>
      </c>
      <c r="H18" s="5" t="s">
        <v>157</v>
      </c>
      <c r="I18" s="4">
        <v>1</v>
      </c>
      <c r="J18" s="4">
        <v>4</v>
      </c>
      <c r="K18" s="4"/>
      <c r="L18" s="4"/>
      <c r="M18" s="4"/>
      <c r="N18" s="4"/>
      <c r="O18" s="4">
        <v>1</v>
      </c>
      <c r="P18" s="4"/>
      <c r="Q18" s="4"/>
      <c r="R18" s="4"/>
      <c r="S18" s="6" t="s">
        <v>158</v>
      </c>
      <c r="T18" s="6"/>
      <c r="U18" s="6" t="s">
        <v>159</v>
      </c>
      <c r="V18" s="6" t="s">
        <v>160</v>
      </c>
      <c r="W18" s="7">
        <f t="shared" si="0"/>
        <v>0</v>
      </c>
      <c r="X18" s="6"/>
    </row>
    <row r="19" spans="1:24" ht="38.1" customHeight="1">
      <c r="A19" s="5"/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7" t="str">
        <f t="shared" si="0"/>
        <v/>
      </c>
      <c r="X19" s="6"/>
    </row>
    <row r="20" spans="1:24" ht="38.1" customHeight="1">
      <c r="A20" s="5"/>
      <c r="B20" s="5" t="s">
        <v>161</v>
      </c>
      <c r="C20" s="5" t="s">
        <v>83</v>
      </c>
      <c r="D20" s="5" t="s">
        <v>93</v>
      </c>
      <c r="E20" s="5" t="s">
        <v>93</v>
      </c>
      <c r="F20" s="5" t="s">
        <v>85</v>
      </c>
      <c r="G20" s="5" t="s">
        <v>112</v>
      </c>
      <c r="H20" s="5" t="s">
        <v>157</v>
      </c>
      <c r="I20" s="4">
        <v>2</v>
      </c>
      <c r="J20" s="4">
        <v>1</v>
      </c>
      <c r="K20" s="4"/>
      <c r="L20" s="4"/>
      <c r="M20" s="4"/>
      <c r="N20" s="4"/>
      <c r="O20" s="4">
        <v>4</v>
      </c>
      <c r="P20" s="4"/>
      <c r="Q20" s="4"/>
      <c r="R20" s="4"/>
      <c r="S20" s="6"/>
      <c r="T20" s="6"/>
      <c r="U20" s="6" t="s">
        <v>162</v>
      </c>
      <c r="V20" s="6" t="s">
        <v>160</v>
      </c>
      <c r="W20" s="7">
        <f t="shared" si="0"/>
        <v>2</v>
      </c>
      <c r="X20" s="6"/>
    </row>
    <row r="21" spans="1:24" ht="38.1" customHeight="1">
      <c r="A21" s="5"/>
      <c r="B21" s="5" t="s">
        <v>163</v>
      </c>
      <c r="C21" s="5" t="s">
        <v>83</v>
      </c>
      <c r="D21" s="5" t="s">
        <v>93</v>
      </c>
      <c r="E21" s="5" t="s">
        <v>93</v>
      </c>
      <c r="F21" s="5" t="s">
        <v>85</v>
      </c>
      <c r="G21" s="5" t="s">
        <v>152</v>
      </c>
      <c r="H21" s="5" t="s">
        <v>157</v>
      </c>
      <c r="I21" s="4">
        <v>4</v>
      </c>
      <c r="J21" s="4">
        <v>1</v>
      </c>
      <c r="K21" s="4"/>
      <c r="L21" s="4"/>
      <c r="M21" s="4"/>
      <c r="N21" s="4"/>
      <c r="O21" s="4">
        <v>10</v>
      </c>
      <c r="P21" s="4"/>
      <c r="Q21" s="4"/>
      <c r="R21" s="4"/>
      <c r="S21" s="6"/>
      <c r="T21" s="6"/>
      <c r="U21" s="6" t="s">
        <v>164</v>
      </c>
      <c r="V21" s="6" t="s">
        <v>165</v>
      </c>
      <c r="W21" s="7">
        <f t="shared" si="0"/>
        <v>6</v>
      </c>
      <c r="X21" s="6" t="s">
        <v>166</v>
      </c>
    </row>
    <row r="22" spans="1:24" ht="38.1" customHeight="1">
      <c r="A22" s="5"/>
      <c r="B22" s="5" t="s">
        <v>167</v>
      </c>
      <c r="C22" s="5" t="s">
        <v>83</v>
      </c>
      <c r="D22" s="5" t="s">
        <v>104</v>
      </c>
      <c r="E22" s="5" t="s">
        <v>105</v>
      </c>
      <c r="F22" s="5" t="s">
        <v>85</v>
      </c>
      <c r="G22" s="5" t="s">
        <v>112</v>
      </c>
      <c r="H22" s="5" t="s">
        <v>168</v>
      </c>
      <c r="I22" s="4">
        <v>0</v>
      </c>
      <c r="J22" s="4">
        <v>2</v>
      </c>
      <c r="K22" s="4"/>
      <c r="L22" s="4"/>
      <c r="M22" s="4"/>
      <c r="N22" s="4"/>
      <c r="O22" s="4"/>
      <c r="P22" s="4"/>
      <c r="Q22" s="4"/>
      <c r="R22" s="4"/>
      <c r="S22" s="6" t="s">
        <v>169</v>
      </c>
      <c r="T22" s="6"/>
      <c r="U22" s="6" t="s">
        <v>170</v>
      </c>
      <c r="V22" s="6" t="s">
        <v>171</v>
      </c>
      <c r="W22" s="7">
        <f t="shared" si="0"/>
        <v>0</v>
      </c>
      <c r="X22" s="6"/>
    </row>
    <row r="23" spans="1:24" ht="38.1" customHeight="1">
      <c r="A23" s="5"/>
      <c r="B23" s="5" t="s">
        <v>172</v>
      </c>
      <c r="C23" s="5" t="s">
        <v>83</v>
      </c>
      <c r="D23" s="5" t="s">
        <v>104</v>
      </c>
      <c r="E23" s="5" t="s">
        <v>105</v>
      </c>
      <c r="F23" s="5" t="s">
        <v>85</v>
      </c>
      <c r="G23" s="5" t="s">
        <v>86</v>
      </c>
      <c r="H23" s="5" t="s">
        <v>173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6" t="s">
        <v>106</v>
      </c>
      <c r="T23" s="6"/>
      <c r="U23" s="6" t="s">
        <v>174</v>
      </c>
      <c r="V23" s="6" t="s">
        <v>171</v>
      </c>
      <c r="W23" s="7">
        <f t="shared" si="0"/>
        <v>0</v>
      </c>
      <c r="X23" s="6"/>
    </row>
    <row r="24" spans="1:24" ht="38.1" customHeight="1">
      <c r="A24" s="5"/>
      <c r="B24" s="5" t="s">
        <v>175</v>
      </c>
      <c r="C24" s="5" t="s">
        <v>83</v>
      </c>
      <c r="D24" s="5" t="s">
        <v>104</v>
      </c>
      <c r="E24" s="5" t="s">
        <v>105</v>
      </c>
      <c r="F24" s="5" t="s">
        <v>85</v>
      </c>
      <c r="G24" s="5" t="s">
        <v>112</v>
      </c>
      <c r="H24" s="5" t="s">
        <v>168</v>
      </c>
      <c r="I24" s="4">
        <v>0</v>
      </c>
      <c r="J24" s="4">
        <v>1</v>
      </c>
      <c r="K24" s="4"/>
      <c r="L24" s="4"/>
      <c r="M24" s="4"/>
      <c r="N24" s="4"/>
      <c r="O24" s="4"/>
      <c r="P24" s="4"/>
      <c r="Q24" s="4"/>
      <c r="R24" s="4"/>
      <c r="S24" s="6" t="s">
        <v>176</v>
      </c>
      <c r="T24" s="6"/>
      <c r="U24" s="6" t="s">
        <v>177</v>
      </c>
      <c r="V24" s="6" t="s">
        <v>171</v>
      </c>
      <c r="W24" s="7">
        <f t="shared" si="0"/>
        <v>0</v>
      </c>
      <c r="X24" s="6"/>
    </row>
    <row r="25" spans="1:24" ht="38.1" customHeight="1">
      <c r="A25" s="5"/>
      <c r="B25" s="5" t="s">
        <v>178</v>
      </c>
      <c r="C25" s="5" t="s">
        <v>83</v>
      </c>
      <c r="D25" s="5" t="s">
        <v>104</v>
      </c>
      <c r="E25" s="5" t="s">
        <v>105</v>
      </c>
      <c r="F25" s="5" t="s">
        <v>85</v>
      </c>
      <c r="G25" s="5" t="s">
        <v>152</v>
      </c>
      <c r="H25" s="5" t="s">
        <v>168</v>
      </c>
      <c r="I25" s="4">
        <v>2</v>
      </c>
      <c r="J25" s="4">
        <v>2</v>
      </c>
      <c r="K25" s="4"/>
      <c r="L25" s="4"/>
      <c r="M25" s="4"/>
      <c r="N25" s="4"/>
      <c r="O25" s="4"/>
      <c r="P25" s="4"/>
      <c r="Q25" s="4"/>
      <c r="R25" s="4"/>
      <c r="S25" s="6" t="s">
        <v>179</v>
      </c>
      <c r="T25" s="6"/>
      <c r="U25" s="6" t="s">
        <v>180</v>
      </c>
      <c r="V25" s="6" t="s">
        <v>171</v>
      </c>
      <c r="W25" s="7">
        <f t="shared" si="0"/>
        <v>-2</v>
      </c>
      <c r="X25" s="6"/>
    </row>
    <row r="26" spans="1:24" ht="38.1" customHeight="1">
      <c r="A26" s="5"/>
      <c r="B26" s="5" t="s">
        <v>181</v>
      </c>
      <c r="C26" s="5" t="s">
        <v>83</v>
      </c>
      <c r="D26" s="5" t="s">
        <v>99</v>
      </c>
      <c r="E26" s="5" t="s">
        <v>99</v>
      </c>
      <c r="F26" s="5" t="s">
        <v>85</v>
      </c>
      <c r="G26" s="5" t="s">
        <v>112</v>
      </c>
      <c r="H26" s="5" t="s">
        <v>182</v>
      </c>
      <c r="I26" s="4">
        <v>2</v>
      </c>
      <c r="J26" s="4">
        <v>4</v>
      </c>
      <c r="K26" s="4"/>
      <c r="L26" s="4"/>
      <c r="M26" s="4"/>
      <c r="N26" s="4"/>
      <c r="O26" s="4"/>
      <c r="P26" s="4">
        <v>2</v>
      </c>
      <c r="Q26" s="4"/>
      <c r="R26" s="4"/>
      <c r="S26" s="6" t="s">
        <v>183</v>
      </c>
      <c r="T26" s="6"/>
      <c r="U26" s="6" t="s">
        <v>184</v>
      </c>
      <c r="V26" s="6" t="s">
        <v>185</v>
      </c>
      <c r="W26" s="7">
        <f t="shared" si="0"/>
        <v>1</v>
      </c>
      <c r="X26" s="6"/>
    </row>
    <row r="27" spans="1:24" ht="38.1" customHeight="1">
      <c r="A27" s="5"/>
      <c r="B27" s="5" t="s">
        <v>186</v>
      </c>
      <c r="C27" s="5" t="s">
        <v>83</v>
      </c>
      <c r="D27" s="5" t="s">
        <v>99</v>
      </c>
      <c r="E27" s="5" t="s">
        <v>99</v>
      </c>
      <c r="F27" s="5" t="s">
        <v>85</v>
      </c>
      <c r="G27" s="5" t="s">
        <v>152</v>
      </c>
      <c r="H27" s="5" t="s">
        <v>182</v>
      </c>
      <c r="I27" s="4">
        <v>2</v>
      </c>
      <c r="J27" s="4">
        <v>2</v>
      </c>
      <c r="K27" s="4"/>
      <c r="L27" s="4"/>
      <c r="M27" s="4"/>
      <c r="N27" s="4"/>
      <c r="O27" s="4"/>
      <c r="P27" s="4">
        <v>4</v>
      </c>
      <c r="Q27" s="4"/>
      <c r="R27" s="4"/>
      <c r="S27" s="6" t="s">
        <v>187</v>
      </c>
      <c r="T27" s="6"/>
      <c r="U27" s="6" t="s">
        <v>188</v>
      </c>
      <c r="V27" s="6" t="s">
        <v>189</v>
      </c>
      <c r="W27" s="7">
        <f t="shared" si="0"/>
        <v>4</v>
      </c>
      <c r="X27" s="6"/>
    </row>
    <row r="28" spans="1:24" ht="38.1" customHeight="1">
      <c r="A28" s="5"/>
      <c r="B28" s="5"/>
      <c r="C28" s="5"/>
      <c r="D28" s="5"/>
      <c r="E28" s="5"/>
      <c r="F28" s="5"/>
      <c r="G28" s="5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7" t="str">
        <f t="shared" si="0"/>
        <v/>
      </c>
      <c r="X28" s="6"/>
    </row>
    <row r="29" spans="1:24" ht="38.1" customHeight="1">
      <c r="A29" s="5"/>
      <c r="B29" s="5"/>
      <c r="C29" s="5"/>
      <c r="D29" s="5"/>
      <c r="E29" s="5"/>
      <c r="F29" s="5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7" t="str">
        <f t="shared" si="0"/>
        <v/>
      </c>
      <c r="X29" s="6"/>
    </row>
    <row r="30" spans="1:24" ht="38.1" customHeight="1">
      <c r="A30" s="5"/>
      <c r="B30" s="5"/>
      <c r="C30" s="5"/>
      <c r="D30" s="5"/>
      <c r="E30" s="5"/>
      <c r="F30" s="5"/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7" t="str">
        <f t="shared" si="0"/>
        <v/>
      </c>
      <c r="X30" s="6"/>
    </row>
    <row r="31" spans="1:24" ht="38.1" customHeight="1">
      <c r="A31" s="5"/>
      <c r="B31" s="5"/>
      <c r="C31" s="5"/>
      <c r="D31" s="5"/>
      <c r="E31" s="5"/>
      <c r="F31" s="5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7" t="str">
        <f t="shared" si="0"/>
        <v/>
      </c>
      <c r="X31" s="6"/>
    </row>
    <row r="32" spans="1:24" ht="38.1" customHeight="1">
      <c r="A32" s="5"/>
      <c r="B32" s="5"/>
      <c r="C32" s="5"/>
      <c r="D32" s="5"/>
      <c r="E32" s="5"/>
      <c r="F32" s="5"/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7" t="str">
        <f t="shared" si="0"/>
        <v/>
      </c>
      <c r="X32" s="6"/>
    </row>
    <row r="33" spans="1:24" ht="38.1" customHeight="1">
      <c r="A33" s="5"/>
      <c r="B33" s="5"/>
      <c r="C33" s="5"/>
      <c r="D33" s="5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7" t="str">
        <f t="shared" si="0"/>
        <v/>
      </c>
      <c r="X33" s="6"/>
    </row>
    <row r="34" spans="1:24" ht="38.1" customHeight="1">
      <c r="A34" s="5"/>
      <c r="B34" s="5"/>
      <c r="C34" s="5"/>
      <c r="D34" s="5"/>
      <c r="E34" s="5"/>
      <c r="F34" s="5"/>
      <c r="G34" s="5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7" t="str">
        <f t="shared" si="0"/>
        <v/>
      </c>
      <c r="X34" s="6"/>
    </row>
    <row r="35" spans="1:24" ht="38.1" customHeight="1">
      <c r="A35" s="5"/>
      <c r="B35" s="5"/>
      <c r="C35" s="5"/>
      <c r="D35" s="5"/>
      <c r="E35" s="5"/>
      <c r="F35" s="5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7" t="str">
        <f t="shared" si="0"/>
        <v/>
      </c>
      <c r="X35" s="6"/>
    </row>
    <row r="36" spans="1:24" ht="38.1" customHeight="1">
      <c r="A36" s="5"/>
      <c r="B36" s="5"/>
      <c r="C36" s="5"/>
      <c r="D36" s="5"/>
      <c r="E36" s="5"/>
      <c r="F36" s="5"/>
      <c r="G36" s="5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7" t="str">
        <f t="shared" si="0"/>
        <v/>
      </c>
      <c r="X36" s="6"/>
    </row>
    <row r="37" spans="1:24" ht="38.1" customHeight="1">
      <c r="A37" s="5"/>
      <c r="B37" s="5"/>
      <c r="C37" s="5"/>
      <c r="D37" s="5"/>
      <c r="E37" s="5"/>
      <c r="F37" s="5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6"/>
      <c r="T37" s="6"/>
      <c r="U37" s="6"/>
      <c r="V37" s="6"/>
      <c r="W37" s="7" t="str">
        <f t="shared" si="0"/>
        <v/>
      </c>
      <c r="X37" s="6"/>
    </row>
    <row r="38" spans="1:24" ht="38.1" customHeight="1">
      <c r="A38" s="5"/>
      <c r="B38" s="5"/>
      <c r="C38" s="5"/>
      <c r="D38" s="5"/>
      <c r="E38" s="5"/>
      <c r="F38" s="5"/>
      <c r="G38" s="5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6"/>
      <c r="T38" s="6"/>
      <c r="U38" s="6"/>
      <c r="V38" s="6"/>
      <c r="W38" s="7" t="str">
        <f t="shared" ref="W38:W69" si="1">IF(COUNTA(A38:V38)=0,"",N(M38)/2+N(N38)/3+N(O38)+N(P38)*1.5+N(Q38)/5+N(R38)*2-N(I38)-N(K38)*0.5-N(L38))</f>
        <v/>
      </c>
      <c r="X38" s="6"/>
    </row>
    <row r="39" spans="1:24" ht="38.1" customHeight="1">
      <c r="A39" s="5"/>
      <c r="B39" s="5"/>
      <c r="C39" s="5"/>
      <c r="D39" s="5"/>
      <c r="E39" s="5"/>
      <c r="F39" s="5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6"/>
      <c r="T39" s="6"/>
      <c r="U39" s="6"/>
      <c r="V39" s="6"/>
      <c r="W39" s="7" t="str">
        <f t="shared" si="1"/>
        <v/>
      </c>
      <c r="X39" s="6"/>
    </row>
    <row r="40" spans="1:24" ht="38.1" customHeight="1">
      <c r="A40" s="5"/>
      <c r="B40" s="5"/>
      <c r="C40" s="5"/>
      <c r="D40" s="5"/>
      <c r="E40" s="5"/>
      <c r="F40" s="5"/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6"/>
      <c r="T40" s="6"/>
      <c r="U40" s="6"/>
      <c r="V40" s="6"/>
      <c r="W40" s="7" t="str">
        <f t="shared" si="1"/>
        <v/>
      </c>
      <c r="X40" s="6"/>
    </row>
    <row r="41" spans="1:24" ht="38.1" customHeight="1">
      <c r="A41" s="5"/>
      <c r="B41" s="5"/>
      <c r="C41" s="5"/>
      <c r="D41" s="5"/>
      <c r="E41" s="5"/>
      <c r="F41" s="5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6"/>
      <c r="T41" s="6"/>
      <c r="U41" s="6"/>
      <c r="V41" s="6"/>
      <c r="W41" s="7" t="str">
        <f t="shared" si="1"/>
        <v/>
      </c>
      <c r="X41" s="6"/>
    </row>
    <row r="42" spans="1:24" ht="38.1" customHeight="1">
      <c r="A42" s="5"/>
      <c r="B42" s="5"/>
      <c r="C42" s="5"/>
      <c r="D42" s="5"/>
      <c r="E42" s="5"/>
      <c r="F42" s="5"/>
      <c r="G42" s="5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6"/>
      <c r="T42" s="6"/>
      <c r="U42" s="6"/>
      <c r="V42" s="6"/>
      <c r="W42" s="7" t="str">
        <f t="shared" si="1"/>
        <v/>
      </c>
      <c r="X42" s="6"/>
    </row>
    <row r="43" spans="1:24" ht="38.1" customHeight="1">
      <c r="A43" s="5"/>
      <c r="B43" s="5"/>
      <c r="C43" s="5"/>
      <c r="D43" s="5"/>
      <c r="E43" s="5"/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6"/>
      <c r="T43" s="6"/>
      <c r="U43" s="6"/>
      <c r="V43" s="6"/>
      <c r="W43" s="7" t="str">
        <f t="shared" si="1"/>
        <v/>
      </c>
      <c r="X43" s="6"/>
    </row>
    <row r="44" spans="1:24" ht="38.1" customHeight="1">
      <c r="A44" s="5"/>
      <c r="B44" s="5"/>
      <c r="C44" s="5"/>
      <c r="D44" s="5"/>
      <c r="E44" s="5"/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6"/>
      <c r="T44" s="6"/>
      <c r="U44" s="6"/>
      <c r="V44" s="6"/>
      <c r="W44" s="7" t="str">
        <f t="shared" si="1"/>
        <v/>
      </c>
      <c r="X44" s="6"/>
    </row>
    <row r="45" spans="1:24" ht="38.1" customHeight="1">
      <c r="A45" s="5"/>
      <c r="B45" s="5"/>
      <c r="C45" s="5"/>
      <c r="D45" s="5"/>
      <c r="E45" s="5"/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6"/>
      <c r="T45" s="6"/>
      <c r="U45" s="6"/>
      <c r="V45" s="6"/>
      <c r="W45" s="7" t="str">
        <f t="shared" si="1"/>
        <v/>
      </c>
      <c r="X45" s="6"/>
    </row>
    <row r="46" spans="1:24" ht="38.1" customHeight="1">
      <c r="A46" s="5"/>
      <c r="B46" s="5"/>
      <c r="C46" s="5"/>
      <c r="D46" s="5"/>
      <c r="E46" s="5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6"/>
      <c r="T46" s="6"/>
      <c r="U46" s="6"/>
      <c r="V46" s="6"/>
      <c r="W46" s="7" t="str">
        <f t="shared" si="1"/>
        <v/>
      </c>
      <c r="X46" s="6"/>
    </row>
    <row r="47" spans="1:24" ht="38.1" customHeight="1">
      <c r="A47" s="5"/>
      <c r="B47" s="5"/>
      <c r="C47" s="5"/>
      <c r="D47" s="5"/>
      <c r="E47" s="5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6"/>
      <c r="U47" s="6"/>
      <c r="V47" s="6"/>
      <c r="W47" s="7" t="str">
        <f t="shared" si="1"/>
        <v/>
      </c>
      <c r="X47" s="6"/>
    </row>
    <row r="48" spans="1:24" ht="38.1" customHeight="1">
      <c r="A48" s="5"/>
      <c r="B48" s="5"/>
      <c r="C48" s="5"/>
      <c r="D48" s="5"/>
      <c r="E48" s="5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6"/>
      <c r="T48" s="6"/>
      <c r="U48" s="6"/>
      <c r="V48" s="6"/>
      <c r="W48" s="7" t="str">
        <f t="shared" si="1"/>
        <v/>
      </c>
      <c r="X48" s="6"/>
    </row>
    <row r="49" spans="1:24" ht="38.1" customHeight="1">
      <c r="A49" s="5"/>
      <c r="B49" s="5"/>
      <c r="C49" s="5"/>
      <c r="D49" s="5"/>
      <c r="E49" s="5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6"/>
      <c r="T49" s="6"/>
      <c r="U49" s="6"/>
      <c r="V49" s="6"/>
      <c r="W49" s="7" t="str">
        <f t="shared" si="1"/>
        <v/>
      </c>
      <c r="X49" s="6"/>
    </row>
    <row r="50" spans="1:24" ht="38.1" customHeight="1">
      <c r="A50" s="5"/>
      <c r="B50" s="5"/>
      <c r="C50" s="5"/>
      <c r="D50" s="5"/>
      <c r="E50" s="5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6"/>
      <c r="T50" s="6"/>
      <c r="U50" s="6"/>
      <c r="V50" s="6"/>
      <c r="W50" s="7" t="str">
        <f t="shared" si="1"/>
        <v/>
      </c>
      <c r="X50" s="6"/>
    </row>
    <row r="51" spans="1:24" ht="38.1" customHeight="1">
      <c r="A51" s="5"/>
      <c r="B51" s="5"/>
      <c r="C51" s="5"/>
      <c r="D51" s="5"/>
      <c r="E51" s="5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6"/>
      <c r="U51" s="6"/>
      <c r="V51" s="6"/>
      <c r="W51" s="7" t="str">
        <f t="shared" si="1"/>
        <v/>
      </c>
      <c r="X51" s="6"/>
    </row>
    <row r="52" spans="1:24" ht="38.1" customHeight="1">
      <c r="A52" s="5"/>
      <c r="B52" s="5"/>
      <c r="C52" s="5"/>
      <c r="D52" s="5"/>
      <c r="E52" s="5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6"/>
      <c r="T52" s="6"/>
      <c r="U52" s="6"/>
      <c r="V52" s="6"/>
      <c r="W52" s="7" t="str">
        <f t="shared" si="1"/>
        <v/>
      </c>
      <c r="X52" s="6"/>
    </row>
    <row r="53" spans="1:24" ht="38.1" customHeight="1">
      <c r="A53" s="5"/>
      <c r="B53" s="5"/>
      <c r="C53" s="5"/>
      <c r="D53" s="5"/>
      <c r="E53" s="5"/>
      <c r="F53" s="5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6"/>
      <c r="U53" s="6"/>
      <c r="V53" s="6"/>
      <c r="W53" s="7" t="str">
        <f t="shared" si="1"/>
        <v/>
      </c>
      <c r="X53" s="6"/>
    </row>
    <row r="54" spans="1:24" ht="38.1" customHeight="1">
      <c r="A54" s="5"/>
      <c r="B54" s="5"/>
      <c r="C54" s="5"/>
      <c r="D54" s="5"/>
      <c r="E54" s="5"/>
      <c r="F54" s="5"/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6"/>
      <c r="T54" s="6"/>
      <c r="U54" s="6"/>
      <c r="V54" s="6"/>
      <c r="W54" s="7" t="str">
        <f t="shared" si="1"/>
        <v/>
      </c>
      <c r="X54" s="6"/>
    </row>
    <row r="55" spans="1:24" ht="38.1" customHeight="1">
      <c r="A55" s="5"/>
      <c r="B55" s="5"/>
      <c r="C55" s="5"/>
      <c r="D55" s="5"/>
      <c r="E55" s="5"/>
      <c r="F55" s="5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6"/>
      <c r="T55" s="6"/>
      <c r="U55" s="6"/>
      <c r="V55" s="6"/>
      <c r="W55" s="7" t="str">
        <f t="shared" si="1"/>
        <v/>
      </c>
      <c r="X55" s="6"/>
    </row>
    <row r="56" spans="1:24" ht="38.1" customHeight="1">
      <c r="A56" s="5"/>
      <c r="B56" s="5"/>
      <c r="C56" s="5"/>
      <c r="D56" s="5"/>
      <c r="E56" s="5"/>
      <c r="F56" s="5"/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6"/>
      <c r="T56" s="6"/>
      <c r="U56" s="6"/>
      <c r="V56" s="6"/>
      <c r="W56" s="7" t="str">
        <f t="shared" si="1"/>
        <v/>
      </c>
      <c r="X56" s="6"/>
    </row>
    <row r="57" spans="1:24" ht="38.1" customHeight="1">
      <c r="A57" s="5"/>
      <c r="B57" s="5"/>
      <c r="C57" s="5"/>
      <c r="D57" s="5"/>
      <c r="E57" s="5"/>
      <c r="F57" s="5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6"/>
      <c r="T57" s="6"/>
      <c r="U57" s="6"/>
      <c r="V57" s="6"/>
      <c r="W57" s="7" t="str">
        <f t="shared" si="1"/>
        <v/>
      </c>
      <c r="X57" s="6"/>
    </row>
    <row r="58" spans="1:24" ht="38.1" customHeight="1">
      <c r="A58" s="5"/>
      <c r="B58" s="5"/>
      <c r="C58" s="5"/>
      <c r="D58" s="5"/>
      <c r="E58" s="5"/>
      <c r="F58" s="5"/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6"/>
      <c r="T58" s="6"/>
      <c r="U58" s="6"/>
      <c r="V58" s="6"/>
      <c r="W58" s="7" t="str">
        <f t="shared" si="1"/>
        <v/>
      </c>
      <c r="X58" s="6"/>
    </row>
    <row r="59" spans="1:24" ht="38.1" customHeight="1">
      <c r="A59" s="5"/>
      <c r="B59" s="5"/>
      <c r="C59" s="5"/>
      <c r="D59" s="5"/>
      <c r="E59" s="5"/>
      <c r="F59" s="5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6"/>
      <c r="T59" s="6"/>
      <c r="U59" s="6"/>
      <c r="V59" s="6"/>
      <c r="W59" s="7" t="str">
        <f t="shared" si="1"/>
        <v/>
      </c>
      <c r="X59" s="6"/>
    </row>
    <row r="60" spans="1:24" ht="38.1" customHeight="1">
      <c r="A60" s="5"/>
      <c r="B60" s="5"/>
      <c r="C60" s="5"/>
      <c r="D60" s="5"/>
      <c r="E60" s="5"/>
      <c r="F60" s="5"/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6"/>
      <c r="T60" s="6"/>
      <c r="U60" s="6"/>
      <c r="V60" s="6"/>
      <c r="W60" s="7" t="str">
        <f t="shared" si="1"/>
        <v/>
      </c>
      <c r="X60" s="6"/>
    </row>
    <row r="61" spans="1:24" ht="38.1" customHeight="1">
      <c r="A61" s="5"/>
      <c r="B61" s="5"/>
      <c r="C61" s="5"/>
      <c r="D61" s="5"/>
      <c r="E61" s="5"/>
      <c r="F61" s="5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6"/>
      <c r="T61" s="6"/>
      <c r="U61" s="6"/>
      <c r="V61" s="6"/>
      <c r="W61" s="7" t="str">
        <f t="shared" si="1"/>
        <v/>
      </c>
      <c r="X61" s="6"/>
    </row>
    <row r="62" spans="1:24" ht="38.1" customHeight="1">
      <c r="A62" s="5"/>
      <c r="B62" s="5"/>
      <c r="C62" s="5"/>
      <c r="D62" s="5"/>
      <c r="E62" s="5"/>
      <c r="F62" s="5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6"/>
      <c r="T62" s="6"/>
      <c r="U62" s="6"/>
      <c r="V62" s="6"/>
      <c r="W62" s="7" t="str">
        <f t="shared" si="1"/>
        <v/>
      </c>
      <c r="X62" s="6"/>
    </row>
    <row r="63" spans="1:24" ht="38.1" customHeight="1">
      <c r="A63" s="5"/>
      <c r="B63" s="5"/>
      <c r="C63" s="5"/>
      <c r="D63" s="5"/>
      <c r="E63" s="5"/>
      <c r="F63" s="5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6"/>
      <c r="T63" s="6"/>
      <c r="U63" s="6"/>
      <c r="V63" s="6"/>
      <c r="W63" s="7" t="str">
        <f t="shared" si="1"/>
        <v/>
      </c>
      <c r="X63" s="6"/>
    </row>
    <row r="64" spans="1:24" ht="38.1" customHeight="1">
      <c r="A64" s="5"/>
      <c r="B64" s="5"/>
      <c r="C64" s="5"/>
      <c r="D64" s="5"/>
      <c r="E64" s="5"/>
      <c r="F64" s="5"/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6"/>
      <c r="T64" s="6"/>
      <c r="U64" s="6"/>
      <c r="V64" s="6"/>
      <c r="W64" s="7" t="str">
        <f t="shared" si="1"/>
        <v/>
      </c>
      <c r="X64" s="6"/>
    </row>
    <row r="65" spans="1:24" ht="38.1" customHeight="1">
      <c r="A65" s="5"/>
      <c r="B65" s="5"/>
      <c r="C65" s="5"/>
      <c r="D65" s="5"/>
      <c r="E65" s="5"/>
      <c r="F65" s="5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6"/>
      <c r="T65" s="6"/>
      <c r="U65" s="6"/>
      <c r="V65" s="6"/>
      <c r="W65" s="7" t="str">
        <f t="shared" si="1"/>
        <v/>
      </c>
      <c r="X65" s="6"/>
    </row>
    <row r="66" spans="1:24" ht="38.1" customHeight="1">
      <c r="A66" s="5"/>
      <c r="B66" s="5"/>
      <c r="C66" s="5"/>
      <c r="D66" s="5"/>
      <c r="E66" s="5"/>
      <c r="F66" s="5"/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6"/>
      <c r="T66" s="6"/>
      <c r="U66" s="6"/>
      <c r="V66" s="6"/>
      <c r="W66" s="7" t="str">
        <f t="shared" si="1"/>
        <v/>
      </c>
      <c r="X66" s="6"/>
    </row>
    <row r="67" spans="1:24" ht="38.1" customHeight="1">
      <c r="A67" s="5"/>
      <c r="B67" s="5"/>
      <c r="C67" s="5"/>
      <c r="D67" s="5"/>
      <c r="E67" s="5"/>
      <c r="F67" s="5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6"/>
      <c r="T67" s="6"/>
      <c r="U67" s="6"/>
      <c r="V67" s="6"/>
      <c r="W67" s="7" t="str">
        <f t="shared" si="1"/>
        <v/>
      </c>
      <c r="X67" s="6"/>
    </row>
    <row r="68" spans="1:24" ht="38.1" customHeight="1">
      <c r="A68" s="5"/>
      <c r="B68" s="5"/>
      <c r="C68" s="5"/>
      <c r="D68" s="5"/>
      <c r="E68" s="5"/>
      <c r="F68" s="5"/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6"/>
      <c r="T68" s="6"/>
      <c r="U68" s="6"/>
      <c r="V68" s="6"/>
      <c r="W68" s="7" t="str">
        <f t="shared" si="1"/>
        <v/>
      </c>
      <c r="X68" s="6"/>
    </row>
    <row r="69" spans="1:24" ht="38.1" customHeight="1">
      <c r="A69" s="5"/>
      <c r="B69" s="5"/>
      <c r="C69" s="5"/>
      <c r="D69" s="5"/>
      <c r="E69" s="5"/>
      <c r="F69" s="5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6"/>
      <c r="T69" s="6"/>
      <c r="U69" s="6"/>
      <c r="V69" s="6"/>
      <c r="W69" s="7" t="str">
        <f t="shared" si="1"/>
        <v/>
      </c>
      <c r="X69" s="6"/>
    </row>
    <row r="70" spans="1:24" ht="38.1" customHeight="1">
      <c r="A70" s="5"/>
      <c r="B70" s="5"/>
      <c r="C70" s="5"/>
      <c r="D70" s="5"/>
      <c r="E70" s="5"/>
      <c r="F70" s="5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6"/>
      <c r="T70" s="6"/>
      <c r="U70" s="6"/>
      <c r="V70" s="6"/>
      <c r="W70" s="7" t="str">
        <f t="shared" ref="W70:W101" si="2">IF(COUNTA(A70:V70)=0,"",N(M70)/2+N(N70)/3+N(O70)+N(P70)*1.5+N(Q70)/5+N(R70)*2-N(I70)-N(K70)*0.5-N(L70))</f>
        <v/>
      </c>
      <c r="X70" s="6"/>
    </row>
    <row r="71" spans="1:24" ht="38.1" customHeight="1">
      <c r="A71" s="5"/>
      <c r="B71" s="5"/>
      <c r="C71" s="5"/>
      <c r="D71" s="5"/>
      <c r="E71" s="5"/>
      <c r="F71" s="5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6"/>
      <c r="T71" s="6"/>
      <c r="U71" s="6"/>
      <c r="V71" s="6"/>
      <c r="W71" s="7" t="str">
        <f t="shared" si="2"/>
        <v/>
      </c>
      <c r="X71" s="6"/>
    </row>
    <row r="72" spans="1:24" ht="38.1" customHeight="1">
      <c r="A72" s="5"/>
      <c r="B72" s="5"/>
      <c r="C72" s="5"/>
      <c r="D72" s="5"/>
      <c r="E72" s="5"/>
      <c r="F72" s="5"/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6"/>
      <c r="T72" s="6"/>
      <c r="U72" s="6"/>
      <c r="V72" s="6"/>
      <c r="W72" s="7" t="str">
        <f t="shared" si="2"/>
        <v/>
      </c>
      <c r="X72" s="6"/>
    </row>
    <row r="73" spans="1:24" ht="38.1" customHeight="1">
      <c r="A73" s="5"/>
      <c r="B73" s="5"/>
      <c r="C73" s="5"/>
      <c r="D73" s="5"/>
      <c r="E73" s="5"/>
      <c r="F73" s="5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6"/>
      <c r="T73" s="6"/>
      <c r="U73" s="6"/>
      <c r="V73" s="6"/>
      <c r="W73" s="7" t="str">
        <f t="shared" si="2"/>
        <v/>
      </c>
      <c r="X73" s="6"/>
    </row>
    <row r="74" spans="1:24" ht="38.1" customHeight="1">
      <c r="A74" s="5"/>
      <c r="B74" s="5"/>
      <c r="C74" s="5"/>
      <c r="D74" s="5"/>
      <c r="E74" s="5"/>
      <c r="F74" s="5"/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6"/>
      <c r="T74" s="6"/>
      <c r="U74" s="6"/>
      <c r="V74" s="6"/>
      <c r="W74" s="7" t="str">
        <f t="shared" si="2"/>
        <v/>
      </c>
      <c r="X74" s="6"/>
    </row>
    <row r="75" spans="1:24" ht="38.1" customHeight="1">
      <c r="A75" s="5"/>
      <c r="B75" s="5"/>
      <c r="C75" s="5"/>
      <c r="D75" s="5"/>
      <c r="E75" s="5"/>
      <c r="F75" s="5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6"/>
      <c r="T75" s="6"/>
      <c r="U75" s="6"/>
      <c r="V75" s="6"/>
      <c r="W75" s="7" t="str">
        <f t="shared" si="2"/>
        <v/>
      </c>
      <c r="X75" s="6"/>
    </row>
    <row r="76" spans="1:24" ht="38.1" customHeight="1">
      <c r="A76" s="5"/>
      <c r="B76" s="5"/>
      <c r="C76" s="5"/>
      <c r="D76" s="5"/>
      <c r="E76" s="5"/>
      <c r="F76" s="5"/>
      <c r="G76" s="5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6"/>
      <c r="T76" s="6"/>
      <c r="U76" s="6"/>
      <c r="V76" s="6"/>
      <c r="W76" s="7" t="str">
        <f t="shared" si="2"/>
        <v/>
      </c>
      <c r="X76" s="6"/>
    </row>
    <row r="77" spans="1:24" ht="38.1" customHeight="1">
      <c r="A77" s="5"/>
      <c r="B77" s="5"/>
      <c r="C77" s="5"/>
      <c r="D77" s="5"/>
      <c r="E77" s="5"/>
      <c r="F77" s="5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6"/>
      <c r="T77" s="6"/>
      <c r="U77" s="6"/>
      <c r="V77" s="6"/>
      <c r="W77" s="7" t="str">
        <f t="shared" si="2"/>
        <v/>
      </c>
      <c r="X77" s="6"/>
    </row>
    <row r="78" spans="1:24" ht="38.1" customHeight="1">
      <c r="A78" s="5"/>
      <c r="B78" s="5"/>
      <c r="C78" s="5"/>
      <c r="D78" s="5"/>
      <c r="E78" s="5"/>
      <c r="F78" s="5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6"/>
      <c r="T78" s="6"/>
      <c r="U78" s="6"/>
      <c r="V78" s="6"/>
      <c r="W78" s="7" t="str">
        <f t="shared" si="2"/>
        <v/>
      </c>
      <c r="X78" s="6"/>
    </row>
    <row r="79" spans="1:24" ht="38.1" customHeight="1">
      <c r="A79" s="5"/>
      <c r="B79" s="5"/>
      <c r="C79" s="5"/>
      <c r="D79" s="5"/>
      <c r="E79" s="5"/>
      <c r="F79" s="5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6"/>
      <c r="T79" s="6"/>
      <c r="U79" s="6"/>
      <c r="V79" s="6"/>
      <c r="W79" s="7" t="str">
        <f t="shared" si="2"/>
        <v/>
      </c>
      <c r="X79" s="6"/>
    </row>
    <row r="80" spans="1:24" ht="38.1" customHeight="1">
      <c r="A80" s="5"/>
      <c r="B80" s="5"/>
      <c r="C80" s="5"/>
      <c r="D80" s="5"/>
      <c r="E80" s="5"/>
      <c r="F80" s="5"/>
      <c r="G80" s="5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6"/>
      <c r="T80" s="6"/>
      <c r="U80" s="6"/>
      <c r="V80" s="6"/>
      <c r="W80" s="7" t="str">
        <f t="shared" si="2"/>
        <v/>
      </c>
      <c r="X80" s="6"/>
    </row>
    <row r="81" spans="1:24" ht="38.1" customHeight="1">
      <c r="A81" s="5"/>
      <c r="B81" s="5"/>
      <c r="C81" s="5"/>
      <c r="D81" s="5"/>
      <c r="E81" s="5"/>
      <c r="F81" s="5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6"/>
      <c r="T81" s="6"/>
      <c r="U81" s="6"/>
      <c r="V81" s="6"/>
      <c r="W81" s="7" t="str">
        <f t="shared" si="2"/>
        <v/>
      </c>
      <c r="X81" s="6"/>
    </row>
    <row r="82" spans="1:24" ht="38.1" customHeight="1">
      <c r="A82" s="5"/>
      <c r="B82" s="5"/>
      <c r="C82" s="5"/>
      <c r="D82" s="5"/>
      <c r="E82" s="5"/>
      <c r="F82" s="5"/>
      <c r="G82" s="5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6"/>
      <c r="T82" s="6"/>
      <c r="U82" s="6"/>
      <c r="V82" s="6"/>
      <c r="W82" s="7" t="str">
        <f t="shared" si="2"/>
        <v/>
      </c>
      <c r="X82" s="6"/>
    </row>
    <row r="83" spans="1:24" ht="38.1" customHeight="1">
      <c r="A83" s="5"/>
      <c r="B83" s="5"/>
      <c r="C83" s="5"/>
      <c r="D83" s="5"/>
      <c r="E83" s="5"/>
      <c r="F83" s="5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6"/>
      <c r="T83" s="6"/>
      <c r="U83" s="6"/>
      <c r="V83" s="6"/>
      <c r="W83" s="7" t="str">
        <f t="shared" si="2"/>
        <v/>
      </c>
      <c r="X83" s="6"/>
    </row>
    <row r="84" spans="1:24" ht="38.1" customHeight="1">
      <c r="A84" s="5"/>
      <c r="B84" s="5"/>
      <c r="C84" s="5"/>
      <c r="D84" s="5"/>
      <c r="E84" s="5"/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6"/>
      <c r="T84" s="6"/>
      <c r="U84" s="6"/>
      <c r="V84" s="6"/>
      <c r="W84" s="7" t="str">
        <f t="shared" si="2"/>
        <v/>
      </c>
      <c r="X84" s="6"/>
    </row>
    <row r="85" spans="1:24" ht="38.1" customHeight="1">
      <c r="A85" s="5"/>
      <c r="B85" s="5"/>
      <c r="C85" s="5"/>
      <c r="D85" s="5"/>
      <c r="E85" s="5"/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6"/>
      <c r="T85" s="6"/>
      <c r="U85" s="6"/>
      <c r="V85" s="6"/>
      <c r="W85" s="7" t="str">
        <f t="shared" si="2"/>
        <v/>
      </c>
      <c r="X85" s="6"/>
    </row>
    <row r="86" spans="1:24" ht="38.1" customHeight="1">
      <c r="A86" s="5"/>
      <c r="B86" s="5"/>
      <c r="C86" s="5"/>
      <c r="D86" s="5"/>
      <c r="E86" s="5"/>
      <c r="F86" s="5"/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6"/>
      <c r="T86" s="6"/>
      <c r="U86" s="6"/>
      <c r="V86" s="6"/>
      <c r="W86" s="7" t="str">
        <f t="shared" si="2"/>
        <v/>
      </c>
      <c r="X86" s="6"/>
    </row>
    <row r="87" spans="1:24" ht="38.1" customHeight="1">
      <c r="A87" s="5"/>
      <c r="B87" s="5"/>
      <c r="C87" s="5"/>
      <c r="D87" s="5"/>
      <c r="E87" s="5"/>
      <c r="F87" s="5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6"/>
      <c r="T87" s="6"/>
      <c r="U87" s="6"/>
      <c r="V87" s="6"/>
      <c r="W87" s="7" t="str">
        <f t="shared" si="2"/>
        <v/>
      </c>
      <c r="X87" s="6"/>
    </row>
    <row r="88" spans="1:24" ht="38.1" customHeight="1">
      <c r="A88" s="5"/>
      <c r="B88" s="5"/>
      <c r="C88" s="5"/>
      <c r="D88" s="5"/>
      <c r="E88" s="5"/>
      <c r="F88" s="5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6"/>
      <c r="T88" s="6"/>
      <c r="U88" s="6"/>
      <c r="V88" s="6"/>
      <c r="W88" s="7" t="str">
        <f t="shared" si="2"/>
        <v/>
      </c>
      <c r="X88" s="6"/>
    </row>
    <row r="89" spans="1:24" ht="38.1" customHeight="1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6"/>
      <c r="T89" s="6"/>
      <c r="U89" s="6"/>
      <c r="V89" s="6"/>
      <c r="W89" s="7" t="str">
        <f t="shared" si="2"/>
        <v/>
      </c>
      <c r="X89" s="6"/>
    </row>
    <row r="90" spans="1:24" ht="38.1" customHeight="1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6"/>
      <c r="T90" s="6"/>
      <c r="U90" s="6"/>
      <c r="V90" s="6"/>
      <c r="W90" s="7" t="str">
        <f t="shared" si="2"/>
        <v/>
      </c>
      <c r="X90" s="6"/>
    </row>
    <row r="91" spans="1:24" ht="38.1" customHeight="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6"/>
      <c r="T91" s="6"/>
      <c r="U91" s="6"/>
      <c r="V91" s="6"/>
      <c r="W91" s="7" t="str">
        <f t="shared" si="2"/>
        <v/>
      </c>
      <c r="X91" s="6"/>
    </row>
    <row r="92" spans="1:24" ht="38.1" customHeight="1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6"/>
      <c r="T92" s="6"/>
      <c r="U92" s="6"/>
      <c r="V92" s="6"/>
      <c r="W92" s="7" t="str">
        <f t="shared" si="2"/>
        <v/>
      </c>
      <c r="X92" s="6"/>
    </row>
    <row r="93" spans="1:24" ht="38.1" customHeight="1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6"/>
      <c r="T93" s="6"/>
      <c r="U93" s="6"/>
      <c r="V93" s="6"/>
      <c r="W93" s="7" t="str">
        <f t="shared" si="2"/>
        <v/>
      </c>
      <c r="X93" s="6"/>
    </row>
    <row r="94" spans="1:24" ht="38.1" customHeight="1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6"/>
      <c r="T94" s="6"/>
      <c r="U94" s="6"/>
      <c r="V94" s="6"/>
      <c r="W94" s="7" t="str">
        <f t="shared" si="2"/>
        <v/>
      </c>
      <c r="X94" s="6"/>
    </row>
    <row r="95" spans="1:24" ht="38.1" customHeight="1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6"/>
      <c r="T95" s="6"/>
      <c r="U95" s="6"/>
      <c r="V95" s="6"/>
      <c r="W95" s="7" t="str">
        <f t="shared" si="2"/>
        <v/>
      </c>
      <c r="X95" s="6"/>
    </row>
    <row r="96" spans="1:24" ht="38.1" customHeight="1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6"/>
      <c r="T96" s="6"/>
      <c r="U96" s="6"/>
      <c r="V96" s="6"/>
      <c r="W96" s="7" t="str">
        <f t="shared" si="2"/>
        <v/>
      </c>
      <c r="X96" s="6"/>
    </row>
    <row r="97" spans="1:24" ht="38.1" customHeight="1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6"/>
      <c r="T97" s="6"/>
      <c r="U97" s="6"/>
      <c r="V97" s="6"/>
      <c r="W97" s="7" t="str">
        <f t="shared" si="2"/>
        <v/>
      </c>
      <c r="X97" s="6"/>
    </row>
    <row r="98" spans="1:24" ht="38.1" customHeight="1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6"/>
      <c r="T98" s="6"/>
      <c r="U98" s="6"/>
      <c r="V98" s="6"/>
      <c r="W98" s="7" t="str">
        <f t="shared" si="2"/>
        <v/>
      </c>
      <c r="X98" s="6"/>
    </row>
    <row r="99" spans="1:24" ht="38.1" customHeight="1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6"/>
      <c r="T99" s="6"/>
      <c r="U99" s="6"/>
      <c r="V99" s="6"/>
      <c r="W99" s="7" t="str">
        <f t="shared" si="2"/>
        <v/>
      </c>
      <c r="X99" s="6"/>
    </row>
    <row r="100" spans="1:24" ht="38.1" customHeight="1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6"/>
      <c r="T100" s="6"/>
      <c r="U100" s="6"/>
      <c r="V100" s="6"/>
      <c r="W100" s="7" t="str">
        <f t="shared" si="2"/>
        <v/>
      </c>
      <c r="X100" s="6"/>
    </row>
    <row r="101" spans="1:24" ht="38.1" customHeight="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6"/>
      <c r="T101" s="6"/>
      <c r="U101" s="6"/>
      <c r="V101" s="6"/>
      <c r="W101" s="7" t="str">
        <f t="shared" si="2"/>
        <v/>
      </c>
      <c r="X101" s="6"/>
    </row>
    <row r="102" spans="1:24" ht="38.1" customHeight="1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6"/>
      <c r="T102" s="6"/>
      <c r="U102" s="6"/>
      <c r="V102" s="6"/>
      <c r="W102" s="7" t="str">
        <f t="shared" ref="W102:W105" si="3">IF(COUNTA(A102:V102)=0,"",N(M102)/2+N(N102)/3+N(O102)+N(P102)*1.5+N(Q102)/5+N(R102)*2-N(I102)-N(K102)*0.5-N(L102))</f>
        <v/>
      </c>
      <c r="X102" s="6"/>
    </row>
    <row r="103" spans="1:24" ht="38.1" customHeight="1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6"/>
      <c r="T103" s="6"/>
      <c r="U103" s="6"/>
      <c r="V103" s="6"/>
      <c r="W103" s="7" t="str">
        <f t="shared" si="3"/>
        <v/>
      </c>
      <c r="X103" s="6"/>
    </row>
    <row r="104" spans="1:24" ht="38.1" customHeight="1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6"/>
      <c r="T104" s="6"/>
      <c r="U104" s="6"/>
      <c r="V104" s="6"/>
      <c r="W104" s="7" t="str">
        <f t="shared" si="3"/>
        <v/>
      </c>
      <c r="X104" s="6"/>
    </row>
    <row r="105" spans="1:24" ht="38.1" customHeight="1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6"/>
      <c r="T105" s="6"/>
      <c r="U105" s="6"/>
      <c r="V105" s="6"/>
      <c r="W105" s="7" t="str">
        <f t="shared" si="3"/>
        <v/>
      </c>
      <c r="X105" s="6"/>
    </row>
  </sheetData>
  <mergeCells count="2">
    <mergeCell ref="A1:X1"/>
    <mergeCell ref="A3:X3"/>
  </mergeCells>
  <phoneticPr fontId="6" type="noConversion"/>
  <dataValidations count="6">
    <dataValidation type="list" sqref="C6:C105" xr:uid="{00000000-0002-0000-0100-000000000000}">
      <formula1>"Draft,Review,Ready,Tested,Implemented,Hold"</formula1>
    </dataValidation>
    <dataValidation type="list" sqref="D6:D105" xr:uid="{00000000-0002-0000-0100-000001000000}">
      <formula1>"Food,Resource,Combat,Explore,Build,Craft,Planning,Zombie,EventReward,Other"</formula1>
    </dataValidation>
    <dataValidation type="list" sqref="E6:E105" xr:uid="{00000000-0002-0000-0100-000002000000}">
      <formula1>"Food,Resource,Explore,Combat,Unrestricted,Additive"</formula1>
    </dataValidation>
    <dataValidation type="list" sqref="F6:F105" xr:uid="{00000000-0002-0000-0100-000003000000}">
      <formula1>"Start,Early,Mid,Late,Boss/Test"</formula1>
    </dataValidation>
    <dataValidation type="list" sqref="G6:G105" xr:uid="{00000000-0002-0000-0100-000004000000}">
      <formula1>"Default,Common,Uncommon,Rare,Very Rare"</formula1>
    </dataValidation>
    <dataValidation type="list" sqref="H6:H105" xr:uid="{00000000-0002-0000-0100-000005000000}">
      <formula1>"Starting Deck,Default Refill,Building Craft,Event,Exploration Pack,Construction,Debug/Test,Small Food Pack,Small Resource Pack,Small Tool Pack,Small Weapon Pack,Effect Refill,Region Limited"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1E9C-3DDB-445F-B2E3-70B8E39A8664}">
  <dimension ref="A1:Z30"/>
  <sheetViews>
    <sheetView workbookViewId="0">
      <selection activeCell="D2" sqref="D2"/>
    </sheetView>
  </sheetViews>
  <sheetFormatPr defaultRowHeight="14.25"/>
  <cols>
    <col min="1" max="1" width="13.875" customWidth="1"/>
    <col min="2" max="4" width="13" customWidth="1"/>
    <col min="5" max="5" width="13.5" customWidth="1"/>
    <col min="6" max="7" width="15.125" customWidth="1"/>
    <col min="8" max="8" width="13.75" customWidth="1"/>
    <col min="9" max="9" width="14.25" customWidth="1"/>
    <col min="10" max="10" width="18.125" customWidth="1"/>
    <col min="11" max="11" width="12.75" customWidth="1"/>
    <col min="12" max="12" width="28.375" customWidth="1"/>
    <col min="13" max="13" width="15" customWidth="1"/>
    <col min="14" max="14" width="18.375" customWidth="1"/>
    <col min="15" max="15" width="17.25" customWidth="1"/>
    <col min="16" max="16" width="9.875" customWidth="1"/>
    <col min="17" max="17" width="19" customWidth="1"/>
    <col min="18" max="18" width="19.25" customWidth="1"/>
    <col min="19" max="19" width="20.875" customWidth="1"/>
    <col min="20" max="20" width="19.875" customWidth="1"/>
    <col min="21" max="21" width="22.75" customWidth="1"/>
    <col min="22" max="22" width="21.125" customWidth="1"/>
  </cols>
  <sheetData>
    <row r="1" spans="1:26" ht="15">
      <c r="A1" s="9" t="s">
        <v>467</v>
      </c>
      <c r="B1" s="10" t="s">
        <v>472</v>
      </c>
      <c r="C1" s="10" t="s">
        <v>579</v>
      </c>
      <c r="D1" s="10" t="s">
        <v>468</v>
      </c>
      <c r="E1" s="11" t="s">
        <v>491</v>
      </c>
      <c r="F1" s="11" t="s">
        <v>591</v>
      </c>
      <c r="G1" s="11" t="s">
        <v>590</v>
      </c>
      <c r="H1" s="11" t="s">
        <v>499</v>
      </c>
      <c r="I1" t="s">
        <v>469</v>
      </c>
      <c r="J1" s="11" t="s">
        <v>470</v>
      </c>
      <c r="K1" s="11" t="s">
        <v>471</v>
      </c>
      <c r="L1" s="11" t="s">
        <v>507</v>
      </c>
      <c r="M1" t="s">
        <v>502</v>
      </c>
      <c r="N1" s="11" t="s">
        <v>503</v>
      </c>
      <c r="O1" s="11" t="s">
        <v>504</v>
      </c>
      <c r="P1" t="s">
        <v>505</v>
      </c>
      <c r="Q1" s="11" t="s">
        <v>506</v>
      </c>
      <c r="R1" t="s">
        <v>514</v>
      </c>
      <c r="S1" t="s">
        <v>515</v>
      </c>
      <c r="T1" t="s">
        <v>516</v>
      </c>
      <c r="U1" s="10" t="s">
        <v>518</v>
      </c>
      <c r="V1" t="s">
        <v>517</v>
      </c>
      <c r="W1" t="s">
        <v>463</v>
      </c>
      <c r="X1" t="s">
        <v>464</v>
      </c>
      <c r="Y1" t="s">
        <v>465</v>
      </c>
      <c r="Z1" t="s">
        <v>466</v>
      </c>
    </row>
    <row r="2" spans="1:26" ht="30" customHeight="1">
      <c r="B2" t="s">
        <v>473</v>
      </c>
      <c r="C2" s="11" t="s">
        <v>580</v>
      </c>
      <c r="D2" t="s">
        <v>485</v>
      </c>
      <c r="E2" t="s">
        <v>489</v>
      </c>
      <c r="F2">
        <v>3</v>
      </c>
      <c r="G2">
        <v>20</v>
      </c>
      <c r="H2">
        <v>15</v>
      </c>
      <c r="I2" t="s">
        <v>496</v>
      </c>
      <c r="J2">
        <v>5</v>
      </c>
      <c r="L2" t="s">
        <v>510</v>
      </c>
      <c r="M2" s="10" t="s">
        <v>519</v>
      </c>
      <c r="N2" s="10" t="s">
        <v>521</v>
      </c>
      <c r="Q2" t="s">
        <v>520</v>
      </c>
      <c r="R2" t="s">
        <v>522</v>
      </c>
    </row>
    <row r="3" spans="1:26" ht="29.25" customHeight="1">
      <c r="B3" t="s">
        <v>474</v>
      </c>
      <c r="C3" t="s">
        <v>581</v>
      </c>
      <c r="D3" s="11" t="s">
        <v>486</v>
      </c>
      <c r="E3" t="s">
        <v>490</v>
      </c>
      <c r="F3">
        <v>1</v>
      </c>
      <c r="G3">
        <v>20</v>
      </c>
      <c r="H3">
        <v>40</v>
      </c>
      <c r="I3" t="s">
        <v>496</v>
      </c>
      <c r="J3">
        <v>8</v>
      </c>
      <c r="L3" s="10" t="s">
        <v>511</v>
      </c>
      <c r="M3" s="10" t="s">
        <v>523</v>
      </c>
      <c r="N3" s="10" t="s">
        <v>525</v>
      </c>
      <c r="O3" s="10" t="s">
        <v>521</v>
      </c>
      <c r="Q3" t="s">
        <v>524</v>
      </c>
      <c r="R3" t="s">
        <v>526</v>
      </c>
      <c r="S3" t="s">
        <v>527</v>
      </c>
    </row>
    <row r="4" spans="1:26" ht="29.25" customHeight="1">
      <c r="B4" t="s">
        <v>475</v>
      </c>
      <c r="C4" s="11" t="s">
        <v>580</v>
      </c>
      <c r="D4" s="11" t="s">
        <v>548</v>
      </c>
      <c r="E4" t="s">
        <v>489</v>
      </c>
      <c r="F4">
        <v>3</v>
      </c>
      <c r="G4">
        <v>20</v>
      </c>
      <c r="H4">
        <v>30</v>
      </c>
      <c r="I4" t="s">
        <v>496</v>
      </c>
      <c r="J4">
        <v>5</v>
      </c>
      <c r="M4" s="11" t="s">
        <v>529</v>
      </c>
      <c r="N4" s="11" t="s">
        <v>595</v>
      </c>
      <c r="O4" s="10" t="s">
        <v>596</v>
      </c>
      <c r="Q4" t="s">
        <v>512</v>
      </c>
      <c r="R4" t="s">
        <v>513</v>
      </c>
      <c r="S4" t="s">
        <v>528</v>
      </c>
    </row>
    <row r="5" spans="1:26" ht="29.25" customHeight="1">
      <c r="B5" t="s">
        <v>476</v>
      </c>
      <c r="C5" t="s">
        <v>580</v>
      </c>
      <c r="D5" t="s">
        <v>487</v>
      </c>
      <c r="E5" t="s">
        <v>489</v>
      </c>
      <c r="F5">
        <v>5</v>
      </c>
      <c r="G5">
        <v>20</v>
      </c>
      <c r="H5">
        <v>40</v>
      </c>
      <c r="I5" t="s">
        <v>496</v>
      </c>
      <c r="J5">
        <v>7</v>
      </c>
      <c r="L5" s="11" t="s">
        <v>531</v>
      </c>
      <c r="M5" s="11" t="s">
        <v>534</v>
      </c>
      <c r="N5" s="10" t="s">
        <v>535</v>
      </c>
      <c r="O5" s="10" t="s">
        <v>536</v>
      </c>
      <c r="Q5" t="s">
        <v>530</v>
      </c>
      <c r="R5" t="s">
        <v>532</v>
      </c>
      <c r="S5" t="s">
        <v>533</v>
      </c>
    </row>
    <row r="6" spans="1:26" ht="29.25" customHeight="1">
      <c r="B6" t="s">
        <v>477</v>
      </c>
      <c r="C6" t="s">
        <v>580</v>
      </c>
      <c r="D6" t="s">
        <v>485</v>
      </c>
      <c r="E6" t="s">
        <v>490</v>
      </c>
      <c r="F6">
        <v>4</v>
      </c>
      <c r="G6">
        <v>20</v>
      </c>
      <c r="H6">
        <v>30</v>
      </c>
      <c r="I6" t="s">
        <v>496</v>
      </c>
      <c r="J6">
        <v>4</v>
      </c>
      <c r="M6" t="s">
        <v>529</v>
      </c>
      <c r="N6" t="s">
        <v>587</v>
      </c>
      <c r="O6" t="s">
        <v>540</v>
      </c>
      <c r="Q6" t="s">
        <v>537</v>
      </c>
      <c r="R6" t="s">
        <v>538</v>
      </c>
      <c r="S6" t="s">
        <v>539</v>
      </c>
    </row>
    <row r="7" spans="1:26" ht="29.25" customHeight="1">
      <c r="B7" t="s">
        <v>478</v>
      </c>
      <c r="C7" t="s">
        <v>580</v>
      </c>
      <c r="D7" s="11" t="s">
        <v>488</v>
      </c>
      <c r="E7" t="s">
        <v>490</v>
      </c>
      <c r="F7">
        <v>4</v>
      </c>
      <c r="G7">
        <v>20</v>
      </c>
      <c r="H7">
        <v>30</v>
      </c>
      <c r="I7" t="s">
        <v>496</v>
      </c>
      <c r="J7">
        <v>5</v>
      </c>
      <c r="L7" s="11"/>
      <c r="M7" s="10" t="s">
        <v>543</v>
      </c>
      <c r="N7" s="10" t="s">
        <v>544</v>
      </c>
      <c r="O7" s="11" t="s">
        <v>546</v>
      </c>
      <c r="Q7" t="s">
        <v>541</v>
      </c>
      <c r="R7" t="s">
        <v>542</v>
      </c>
      <c r="S7" s="11" t="s">
        <v>545</v>
      </c>
    </row>
    <row r="8" spans="1:26" ht="29.25" customHeight="1">
      <c r="B8" t="s">
        <v>479</v>
      </c>
      <c r="C8" s="11" t="s">
        <v>584</v>
      </c>
      <c r="D8" t="s">
        <v>485</v>
      </c>
      <c r="E8" t="s">
        <v>492</v>
      </c>
      <c r="F8">
        <v>5</v>
      </c>
      <c r="G8">
        <v>20</v>
      </c>
      <c r="H8">
        <v>25</v>
      </c>
      <c r="I8" t="s">
        <v>496</v>
      </c>
      <c r="J8">
        <v>5</v>
      </c>
      <c r="L8" t="s">
        <v>509</v>
      </c>
      <c r="M8" s="11" t="s">
        <v>550</v>
      </c>
      <c r="N8" t="s">
        <v>549</v>
      </c>
      <c r="O8" s="10" t="s">
        <v>552</v>
      </c>
      <c r="Q8" t="s">
        <v>547</v>
      </c>
      <c r="R8" t="s">
        <v>542</v>
      </c>
      <c r="S8" s="11" t="s">
        <v>551</v>
      </c>
    </row>
    <row r="9" spans="1:26" ht="29.25" customHeight="1">
      <c r="B9" s="11" t="s">
        <v>480</v>
      </c>
      <c r="C9" s="11" t="s">
        <v>584</v>
      </c>
      <c r="D9" t="s">
        <v>486</v>
      </c>
      <c r="E9" t="s">
        <v>494</v>
      </c>
      <c r="F9">
        <v>8</v>
      </c>
      <c r="G9">
        <v>20</v>
      </c>
      <c r="H9">
        <v>70</v>
      </c>
      <c r="I9" t="s">
        <v>496</v>
      </c>
      <c r="J9">
        <v>8</v>
      </c>
      <c r="M9" s="10" t="s">
        <v>555</v>
      </c>
      <c r="N9" s="10" t="s">
        <v>585</v>
      </c>
      <c r="O9" t="s">
        <v>556</v>
      </c>
      <c r="Q9" t="s">
        <v>542</v>
      </c>
      <c r="R9" t="s">
        <v>553</v>
      </c>
      <c r="S9" t="s">
        <v>554</v>
      </c>
    </row>
    <row r="10" spans="1:26" ht="29.25" customHeight="1">
      <c r="B10" t="s">
        <v>481</v>
      </c>
      <c r="C10" s="11" t="s">
        <v>582</v>
      </c>
      <c r="D10" t="s">
        <v>485</v>
      </c>
      <c r="E10" t="s">
        <v>494</v>
      </c>
      <c r="F10">
        <v>4</v>
      </c>
      <c r="G10">
        <v>20</v>
      </c>
      <c r="H10">
        <v>30</v>
      </c>
      <c r="I10" t="s">
        <v>496</v>
      </c>
      <c r="J10">
        <v>5</v>
      </c>
      <c r="M10" s="11" t="s">
        <v>559</v>
      </c>
      <c r="N10" s="11" t="s">
        <v>560</v>
      </c>
      <c r="Q10" t="s">
        <v>558</v>
      </c>
      <c r="R10" t="s">
        <v>557</v>
      </c>
    </row>
    <row r="11" spans="1:26" ht="29.25" customHeight="1">
      <c r="B11" t="s">
        <v>482</v>
      </c>
      <c r="C11" s="11" t="s">
        <v>592</v>
      </c>
      <c r="D11" t="s">
        <v>487</v>
      </c>
      <c r="E11" t="s">
        <v>493</v>
      </c>
      <c r="F11">
        <v>10</v>
      </c>
      <c r="G11">
        <v>20</v>
      </c>
      <c r="H11">
        <v>50</v>
      </c>
      <c r="I11" t="s">
        <v>497</v>
      </c>
      <c r="J11" t="s">
        <v>498</v>
      </c>
      <c r="M11" s="11" t="s">
        <v>563</v>
      </c>
      <c r="N11" t="s">
        <v>556</v>
      </c>
      <c r="Q11" t="s">
        <v>561</v>
      </c>
      <c r="R11" t="s">
        <v>562</v>
      </c>
    </row>
    <row r="12" spans="1:26" ht="29.25" customHeight="1">
      <c r="B12" t="s">
        <v>483</v>
      </c>
      <c r="C12" t="s">
        <v>582</v>
      </c>
      <c r="D12" t="s">
        <v>485</v>
      </c>
      <c r="E12" t="s">
        <v>494</v>
      </c>
      <c r="F12">
        <v>5</v>
      </c>
      <c r="G12">
        <v>20</v>
      </c>
      <c r="H12">
        <v>30</v>
      </c>
      <c r="I12" t="s">
        <v>496</v>
      </c>
      <c r="J12">
        <v>6</v>
      </c>
      <c r="L12" s="10"/>
      <c r="M12" t="s">
        <v>566</v>
      </c>
      <c r="N12" s="10" t="s">
        <v>567</v>
      </c>
      <c r="Q12" t="s">
        <v>565</v>
      </c>
      <c r="R12" t="s">
        <v>564</v>
      </c>
    </row>
    <row r="13" spans="1:26" ht="29.25" customHeight="1">
      <c r="B13" t="s">
        <v>484</v>
      </c>
      <c r="C13" s="11" t="s">
        <v>583</v>
      </c>
      <c r="D13" t="s">
        <v>487</v>
      </c>
      <c r="E13" t="s">
        <v>493</v>
      </c>
      <c r="F13">
        <v>10</v>
      </c>
      <c r="G13">
        <v>20</v>
      </c>
      <c r="H13">
        <v>50</v>
      </c>
      <c r="I13" t="s">
        <v>496</v>
      </c>
      <c r="J13" s="11">
        <v>10</v>
      </c>
      <c r="L13" s="10" t="s">
        <v>588</v>
      </c>
      <c r="M13" t="s">
        <v>571</v>
      </c>
      <c r="N13" t="s">
        <v>572</v>
      </c>
      <c r="O13" s="11" t="s">
        <v>589</v>
      </c>
      <c r="Q13" t="s">
        <v>568</v>
      </c>
      <c r="R13" t="s">
        <v>569</v>
      </c>
      <c r="S13" t="s">
        <v>570</v>
      </c>
    </row>
    <row r="14" spans="1:26" ht="29.25" customHeight="1">
      <c r="B14" t="s">
        <v>495</v>
      </c>
      <c r="C14" t="s">
        <v>593</v>
      </c>
      <c r="D14" t="s">
        <v>487</v>
      </c>
      <c r="E14" t="s">
        <v>494</v>
      </c>
      <c r="F14" s="12">
        <v>1</v>
      </c>
      <c r="G14" s="12">
        <v>10</v>
      </c>
      <c r="H14">
        <v>10</v>
      </c>
      <c r="I14" t="s">
        <v>496</v>
      </c>
      <c r="J14" t="s">
        <v>498</v>
      </c>
      <c r="L14" t="s">
        <v>576</v>
      </c>
      <c r="M14" s="10" t="s">
        <v>594</v>
      </c>
      <c r="N14" s="10" t="s">
        <v>577</v>
      </c>
      <c r="O14" s="11" t="s">
        <v>556</v>
      </c>
      <c r="Q14" t="s">
        <v>573</v>
      </c>
      <c r="R14" s="11" t="s">
        <v>574</v>
      </c>
      <c r="S14" t="s">
        <v>575</v>
      </c>
    </row>
    <row r="15" spans="1:26" ht="29.25" customHeight="1">
      <c r="B15" s="11" t="s">
        <v>500</v>
      </c>
      <c r="C15" s="11" t="s">
        <v>584</v>
      </c>
      <c r="D15" t="s">
        <v>485</v>
      </c>
      <c r="E15" t="s">
        <v>493</v>
      </c>
      <c r="F15">
        <v>11</v>
      </c>
      <c r="G15">
        <v>20</v>
      </c>
      <c r="H15">
        <v>50</v>
      </c>
      <c r="I15" t="s">
        <v>496</v>
      </c>
      <c r="J15" t="s">
        <v>498</v>
      </c>
      <c r="K15" s="11" t="s">
        <v>501</v>
      </c>
      <c r="L15" s="11" t="s">
        <v>508</v>
      </c>
      <c r="M15" s="11" t="s">
        <v>586</v>
      </c>
      <c r="Q15" t="s">
        <v>578</v>
      </c>
    </row>
    <row r="16" spans="1:2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0C2B-1825-4E4B-A6C8-1895EC7F6D48}">
  <dimension ref="A1:Z35"/>
  <sheetViews>
    <sheetView tabSelected="1" workbookViewId="0">
      <selection activeCell="D5" sqref="D5"/>
    </sheetView>
  </sheetViews>
  <sheetFormatPr defaultRowHeight="14.25"/>
  <cols>
    <col min="1" max="8" width="18.625" customWidth="1"/>
  </cols>
  <sheetData>
    <row r="1" spans="1:26" ht="75.75" customHeight="1">
      <c r="A1" s="27" t="s">
        <v>611</v>
      </c>
      <c r="B1" s="27" t="s">
        <v>612</v>
      </c>
      <c r="C1" s="27" t="s">
        <v>613</v>
      </c>
      <c r="D1" s="27" t="s">
        <v>614</v>
      </c>
      <c r="E1" s="27" t="s">
        <v>615</v>
      </c>
      <c r="F1" s="27" t="s">
        <v>616</v>
      </c>
      <c r="G1" s="27" t="s">
        <v>617</v>
      </c>
      <c r="H1" s="27" t="s">
        <v>618</v>
      </c>
      <c r="I1" t="s">
        <v>597</v>
      </c>
      <c r="J1" t="s">
        <v>598</v>
      </c>
      <c r="K1" t="s">
        <v>599</v>
      </c>
      <c r="L1" t="s">
        <v>600</v>
      </c>
      <c r="M1" t="s">
        <v>601</v>
      </c>
      <c r="N1" t="s">
        <v>602</v>
      </c>
      <c r="O1" t="s">
        <v>603</v>
      </c>
      <c r="P1" t="s">
        <v>604</v>
      </c>
      <c r="Q1" t="s">
        <v>605</v>
      </c>
      <c r="R1" t="s">
        <v>463</v>
      </c>
      <c r="S1" t="s">
        <v>464</v>
      </c>
      <c r="T1" t="s">
        <v>465</v>
      </c>
      <c r="U1" t="s">
        <v>466</v>
      </c>
      <c r="V1" t="s">
        <v>606</v>
      </c>
      <c r="W1" t="s">
        <v>607</v>
      </c>
      <c r="X1" t="s">
        <v>608</v>
      </c>
      <c r="Y1" t="s">
        <v>609</v>
      </c>
      <c r="Z1" t="s">
        <v>610</v>
      </c>
    </row>
    <row r="2" spans="1:26" ht="75.75" customHeight="1">
      <c r="A2" s="28" t="s">
        <v>619</v>
      </c>
      <c r="B2" s="28" t="s">
        <v>620</v>
      </c>
      <c r="C2" s="28" t="s">
        <v>621</v>
      </c>
      <c r="D2" s="28" t="s">
        <v>54</v>
      </c>
      <c r="E2" s="28">
        <v>2</v>
      </c>
      <c r="F2" s="29">
        <v>0.15</v>
      </c>
      <c r="G2" s="29">
        <v>0.1</v>
      </c>
      <c r="H2" s="29">
        <v>0.1</v>
      </c>
    </row>
    <row r="3" spans="1:26" ht="75.75" customHeight="1">
      <c r="A3" s="28" t="s">
        <v>622</v>
      </c>
      <c r="B3" s="28" t="s">
        <v>623</v>
      </c>
      <c r="C3" s="28" t="s">
        <v>621</v>
      </c>
      <c r="D3" s="28" t="s">
        <v>54</v>
      </c>
      <c r="E3" s="28">
        <v>2</v>
      </c>
      <c r="F3" s="29">
        <v>0.15</v>
      </c>
      <c r="G3" s="29">
        <v>0.1</v>
      </c>
      <c r="H3" s="29">
        <v>0.1</v>
      </c>
    </row>
    <row r="4" spans="1:26" ht="75.75" customHeight="1">
      <c r="A4" s="28" t="s">
        <v>624</v>
      </c>
      <c r="B4" s="28" t="s">
        <v>652</v>
      </c>
      <c r="C4" s="28" t="s">
        <v>621</v>
      </c>
      <c r="D4" s="28" t="s">
        <v>36</v>
      </c>
      <c r="E4" s="28">
        <v>3</v>
      </c>
      <c r="F4" s="29">
        <v>0.3</v>
      </c>
      <c r="G4" s="29">
        <v>0.1</v>
      </c>
      <c r="H4" s="29">
        <v>0.1</v>
      </c>
    </row>
    <row r="5" spans="1:26" ht="75.75" customHeight="1">
      <c r="A5" s="28" t="s">
        <v>625</v>
      </c>
      <c r="B5" s="31" t="s">
        <v>654</v>
      </c>
      <c r="C5" s="28" t="s">
        <v>626</v>
      </c>
      <c r="D5" s="28" t="s">
        <v>493</v>
      </c>
      <c r="E5" s="28">
        <v>4</v>
      </c>
      <c r="F5" s="29">
        <v>0.45</v>
      </c>
      <c r="G5" s="29">
        <v>0.15</v>
      </c>
      <c r="H5" s="29">
        <v>0.1</v>
      </c>
    </row>
    <row r="6" spans="1:26" ht="75.75" customHeight="1">
      <c r="A6" s="28" t="s">
        <v>635</v>
      </c>
      <c r="B6" s="28" t="s">
        <v>636</v>
      </c>
      <c r="C6" s="28" t="s">
        <v>637</v>
      </c>
      <c r="D6" s="28" t="s">
        <v>493</v>
      </c>
      <c r="E6" s="28">
        <v>6</v>
      </c>
      <c r="F6" s="29">
        <v>0.45</v>
      </c>
      <c r="G6" s="29">
        <v>0.15</v>
      </c>
      <c r="H6" s="29">
        <v>0.15</v>
      </c>
    </row>
    <row r="7" spans="1:26" ht="75.75" customHeight="1">
      <c r="A7" s="28"/>
      <c r="B7" s="28"/>
      <c r="C7" s="28"/>
      <c r="D7" s="28"/>
      <c r="E7" s="28"/>
      <c r="F7" s="29"/>
      <c r="G7" s="29"/>
      <c r="H7" s="29"/>
    </row>
    <row r="8" spans="1:26" ht="75.75" customHeight="1">
      <c r="A8" s="28"/>
      <c r="B8" s="28"/>
      <c r="C8" s="28"/>
      <c r="D8" s="28"/>
      <c r="E8" s="28"/>
      <c r="F8" s="29"/>
      <c r="G8" s="29"/>
      <c r="H8" s="29"/>
    </row>
    <row r="9" spans="1:26" ht="75.75" customHeight="1">
      <c r="A9" s="28"/>
      <c r="B9" s="28"/>
      <c r="C9" s="28"/>
      <c r="D9" s="28"/>
      <c r="E9" s="28"/>
      <c r="F9" s="29"/>
      <c r="G9" s="29"/>
      <c r="H9" s="29"/>
    </row>
    <row r="10" spans="1:26" ht="75.75" customHeight="1">
      <c r="A10" s="28"/>
      <c r="B10" s="28"/>
      <c r="C10" s="28"/>
      <c r="D10" s="28"/>
      <c r="E10" s="28"/>
      <c r="F10" s="29"/>
      <c r="G10" s="29"/>
      <c r="H10" s="29"/>
    </row>
    <row r="11" spans="1:26" ht="75.75" customHeight="1">
      <c r="A11" s="28"/>
      <c r="B11" s="28"/>
      <c r="C11" s="28"/>
      <c r="D11" s="28"/>
      <c r="E11" s="28"/>
      <c r="F11" s="29"/>
      <c r="G11" s="29"/>
      <c r="H11" s="29"/>
    </row>
    <row r="12" spans="1:26" ht="75.75" customHeight="1">
      <c r="A12" s="28"/>
      <c r="B12" s="28"/>
      <c r="C12" s="28"/>
      <c r="D12" s="28"/>
      <c r="E12" s="28"/>
      <c r="F12" s="29"/>
      <c r="G12" s="29"/>
      <c r="H12" s="29"/>
    </row>
    <row r="13" spans="1:26" ht="75.75" customHeight="1">
      <c r="A13" s="28"/>
      <c r="B13" s="28"/>
      <c r="C13" s="28"/>
      <c r="D13" s="28"/>
      <c r="E13" s="28"/>
      <c r="F13" s="29"/>
      <c r="G13" s="29"/>
      <c r="H13" s="29"/>
    </row>
    <row r="14" spans="1:26" ht="75.75" customHeight="1">
      <c r="A14" s="28"/>
      <c r="B14" s="28"/>
      <c r="C14" s="28"/>
      <c r="D14" s="28"/>
      <c r="E14" s="28"/>
      <c r="F14" s="29"/>
      <c r="G14" s="29"/>
      <c r="H14" s="29"/>
    </row>
    <row r="15" spans="1:26" ht="75.75" customHeight="1">
      <c r="A15" s="28"/>
      <c r="B15" s="28"/>
      <c r="C15" s="28"/>
      <c r="D15" s="28"/>
      <c r="E15" s="28"/>
      <c r="F15" s="29"/>
      <c r="G15" s="29"/>
      <c r="H15" s="29"/>
    </row>
    <row r="16" spans="1:26" ht="75.75" customHeight="1">
      <c r="A16" s="28"/>
      <c r="B16" s="28"/>
      <c r="C16" s="28"/>
      <c r="D16" s="28"/>
      <c r="E16" s="28"/>
      <c r="F16" s="29"/>
      <c r="G16" s="29"/>
      <c r="H16" s="29"/>
    </row>
    <row r="17" spans="1:8" ht="75.75" customHeight="1">
      <c r="A17" s="28"/>
      <c r="B17" s="28"/>
      <c r="C17" s="28"/>
      <c r="D17" s="28"/>
      <c r="E17" s="28"/>
      <c r="F17" s="29"/>
      <c r="G17" s="29"/>
      <c r="H17" s="29"/>
    </row>
    <row r="18" spans="1:8" ht="75.75" customHeight="1">
      <c r="A18" s="28"/>
      <c r="B18" s="28"/>
      <c r="C18" s="28"/>
      <c r="D18" s="28"/>
      <c r="E18" s="28"/>
      <c r="F18" s="29"/>
      <c r="G18" s="29"/>
      <c r="H18" s="29"/>
    </row>
    <row r="19" spans="1:8" ht="75.75" customHeight="1">
      <c r="A19" s="28"/>
      <c r="B19" s="28"/>
      <c r="C19" s="28"/>
      <c r="D19" s="28"/>
      <c r="E19" s="28"/>
      <c r="F19" s="29"/>
      <c r="G19" s="29"/>
      <c r="H19" s="29"/>
    </row>
    <row r="20" spans="1:8" ht="75.75" customHeight="1">
      <c r="A20" s="28"/>
      <c r="B20" s="28"/>
      <c r="C20" s="28"/>
      <c r="D20" s="28"/>
      <c r="E20" s="28"/>
      <c r="F20" s="29"/>
      <c r="G20" s="29"/>
      <c r="H20" s="29"/>
    </row>
    <row r="21" spans="1:8" ht="75.75" customHeight="1">
      <c r="A21" s="28"/>
      <c r="B21" s="28"/>
      <c r="C21" s="28"/>
      <c r="D21" s="28"/>
      <c r="E21" s="28"/>
      <c r="F21" s="29"/>
      <c r="G21" s="29"/>
      <c r="H21" s="29"/>
    </row>
    <row r="22" spans="1:8" ht="75.75" customHeight="1">
      <c r="A22" s="28"/>
      <c r="B22" s="28"/>
      <c r="C22" s="28"/>
      <c r="D22" s="28"/>
      <c r="E22" s="28"/>
      <c r="F22" s="29"/>
      <c r="G22" s="29"/>
      <c r="H22" s="29"/>
    </row>
    <row r="23" spans="1:8" ht="75.75" customHeight="1">
      <c r="A23" s="28"/>
      <c r="B23" s="28"/>
      <c r="C23" s="28"/>
      <c r="D23" s="28"/>
      <c r="E23" s="28"/>
      <c r="F23" s="29"/>
      <c r="G23" s="29"/>
      <c r="H23" s="29"/>
    </row>
    <row r="24" spans="1:8" ht="75.75" customHeight="1">
      <c r="A24" s="28"/>
      <c r="B24" s="28"/>
      <c r="C24" s="28"/>
      <c r="D24" s="28"/>
      <c r="E24" s="28"/>
      <c r="F24" s="29"/>
      <c r="G24" s="29"/>
      <c r="H24" s="29"/>
    </row>
    <row r="25" spans="1:8" ht="75.75" customHeight="1">
      <c r="A25" s="28"/>
      <c r="B25" s="28"/>
      <c r="C25" s="28"/>
      <c r="D25" s="28"/>
      <c r="E25" s="28"/>
      <c r="F25" s="29"/>
      <c r="G25" s="29"/>
      <c r="H25" s="29"/>
    </row>
    <row r="26" spans="1:8" ht="75.75" customHeight="1">
      <c r="A26" s="28"/>
      <c r="B26" s="28"/>
      <c r="C26" s="28"/>
      <c r="D26" s="28"/>
      <c r="E26" s="28"/>
      <c r="F26" s="29"/>
      <c r="G26" s="29"/>
      <c r="H26" s="29"/>
    </row>
    <row r="27" spans="1:8" ht="75.75" customHeight="1">
      <c r="A27" s="28"/>
      <c r="B27" s="28"/>
      <c r="C27" s="28"/>
      <c r="D27" s="28"/>
      <c r="E27" s="28"/>
      <c r="F27" s="29"/>
      <c r="G27" s="29"/>
      <c r="H27" s="29"/>
    </row>
    <row r="28" spans="1:8" ht="75.75" customHeight="1">
      <c r="A28" s="28"/>
      <c r="B28" s="28"/>
      <c r="C28" s="28"/>
      <c r="D28" s="28"/>
      <c r="E28" s="28"/>
      <c r="F28" s="29"/>
      <c r="G28" s="29"/>
      <c r="H28" s="29"/>
    </row>
    <row r="29" spans="1:8" ht="75.75" customHeight="1">
      <c r="A29" s="28"/>
      <c r="B29" s="28"/>
      <c r="C29" s="28"/>
      <c r="D29" s="28"/>
      <c r="E29" s="28"/>
      <c r="F29" s="29"/>
      <c r="G29" s="29"/>
      <c r="H29" s="29"/>
    </row>
    <row r="30" spans="1:8" ht="75.75" customHeight="1">
      <c r="A30" s="28"/>
      <c r="B30" s="28"/>
      <c r="C30" s="28"/>
      <c r="D30" s="28"/>
      <c r="E30" s="28"/>
      <c r="F30" s="29"/>
      <c r="G30" s="29"/>
      <c r="H30" s="29"/>
    </row>
    <row r="31" spans="1:8" ht="75.75" customHeight="1">
      <c r="A31" s="28"/>
      <c r="B31" s="28"/>
      <c r="C31" s="28"/>
      <c r="D31" s="28"/>
      <c r="E31" s="28"/>
      <c r="F31" s="29"/>
      <c r="G31" s="29"/>
      <c r="H31" s="29"/>
    </row>
    <row r="32" spans="1:8" ht="75.75" customHeight="1">
      <c r="A32" s="28"/>
      <c r="B32" s="28"/>
      <c r="C32" s="28"/>
      <c r="D32" s="28"/>
      <c r="E32" s="28"/>
      <c r="F32" s="29"/>
      <c r="G32" s="29"/>
      <c r="H32" s="29"/>
    </row>
    <row r="33" spans="1:8" ht="75.75" customHeight="1">
      <c r="A33" s="28"/>
      <c r="B33" s="28"/>
      <c r="C33" s="28"/>
      <c r="D33" s="28"/>
      <c r="E33" s="28"/>
      <c r="F33" s="29"/>
      <c r="G33" s="29"/>
      <c r="H33" s="29"/>
    </row>
    <row r="34" spans="1:8" ht="75.75" customHeight="1">
      <c r="A34" s="28"/>
      <c r="B34" s="28"/>
      <c r="C34" s="28"/>
      <c r="D34" s="28"/>
      <c r="E34" s="28"/>
      <c r="F34" s="29"/>
      <c r="G34" s="29"/>
      <c r="H34" s="29"/>
    </row>
    <row r="35" spans="1:8" ht="75.75" customHeight="1">
      <c r="A35" s="28"/>
      <c r="B35" s="28"/>
      <c r="C35" s="28"/>
      <c r="D35" s="28"/>
      <c r="E35" s="28"/>
      <c r="F35" s="29"/>
      <c r="G35" s="29"/>
      <c r="H35" s="29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9BE-3F7A-4EFA-817D-6B1E3F13F550}">
  <dimension ref="A1:Z36"/>
  <sheetViews>
    <sheetView topLeftCell="A13" workbookViewId="0">
      <selection activeCell="F16" sqref="F16"/>
    </sheetView>
  </sheetViews>
  <sheetFormatPr defaultRowHeight="14.25"/>
  <cols>
    <col min="1" max="8" width="18.625" customWidth="1"/>
  </cols>
  <sheetData>
    <row r="1" spans="1:26" ht="75.75" customHeight="1">
      <c r="A1" s="27" t="s">
        <v>662</v>
      </c>
      <c r="B1" s="27" t="s">
        <v>663</v>
      </c>
      <c r="C1" s="30" t="s">
        <v>664</v>
      </c>
      <c r="D1" s="30" t="s">
        <v>665</v>
      </c>
      <c r="E1" s="27" t="s">
        <v>627</v>
      </c>
      <c r="F1" s="27" t="s">
        <v>628</v>
      </c>
      <c r="G1" s="27" t="s">
        <v>629</v>
      </c>
      <c r="H1" s="30" t="s">
        <v>633</v>
      </c>
      <c r="I1" t="s">
        <v>597</v>
      </c>
      <c r="J1" t="s">
        <v>598</v>
      </c>
      <c r="K1" t="s">
        <v>599</v>
      </c>
      <c r="L1" t="s">
        <v>600</v>
      </c>
      <c r="M1" t="s">
        <v>601</v>
      </c>
      <c r="N1" t="s">
        <v>602</v>
      </c>
      <c r="O1" t="s">
        <v>603</v>
      </c>
      <c r="P1" t="s">
        <v>604</v>
      </c>
      <c r="Q1" t="s">
        <v>605</v>
      </c>
      <c r="R1" t="s">
        <v>463</v>
      </c>
      <c r="S1" t="s">
        <v>464</v>
      </c>
      <c r="T1" t="s">
        <v>465</v>
      </c>
      <c r="U1" t="s">
        <v>466</v>
      </c>
      <c r="V1" t="s">
        <v>606</v>
      </c>
      <c r="W1" t="s">
        <v>607</v>
      </c>
      <c r="X1" t="s">
        <v>608</v>
      </c>
      <c r="Y1" t="s">
        <v>609</v>
      </c>
      <c r="Z1" t="s">
        <v>610</v>
      </c>
    </row>
    <row r="2" spans="1:26" ht="75.75" customHeight="1">
      <c r="A2" s="28" t="s">
        <v>619</v>
      </c>
      <c r="B2" s="28" t="s">
        <v>642</v>
      </c>
      <c r="C2" s="31" t="s">
        <v>645</v>
      </c>
      <c r="D2" s="28" t="s">
        <v>630</v>
      </c>
      <c r="E2" s="28">
        <v>4</v>
      </c>
      <c r="F2" s="28">
        <v>70</v>
      </c>
      <c r="G2" s="28">
        <v>4</v>
      </c>
      <c r="H2" s="29"/>
    </row>
    <row r="3" spans="1:26" ht="75.75" customHeight="1">
      <c r="A3" s="28" t="s">
        <v>619</v>
      </c>
      <c r="B3" s="31" t="s">
        <v>658</v>
      </c>
      <c r="C3" s="31" t="s">
        <v>659</v>
      </c>
      <c r="D3" s="31" t="s">
        <v>640</v>
      </c>
      <c r="E3" s="28">
        <v>2</v>
      </c>
      <c r="F3" s="28">
        <v>25</v>
      </c>
      <c r="G3" s="28">
        <v>2</v>
      </c>
      <c r="H3" s="29"/>
    </row>
    <row r="4" spans="1:26" ht="75" customHeight="1">
      <c r="A4" s="28" t="s">
        <v>639</v>
      </c>
      <c r="B4" s="28" t="s">
        <v>651</v>
      </c>
      <c r="C4" s="31" t="s">
        <v>647</v>
      </c>
      <c r="D4" s="31" t="s">
        <v>641</v>
      </c>
      <c r="E4" s="28">
        <v>1</v>
      </c>
      <c r="F4" s="28">
        <v>5</v>
      </c>
      <c r="G4" s="28">
        <v>1</v>
      </c>
      <c r="H4" s="29"/>
    </row>
    <row r="5" spans="1:26" ht="75.75" customHeight="1">
      <c r="A5" s="28" t="s">
        <v>622</v>
      </c>
      <c r="B5" s="28" t="s">
        <v>643</v>
      </c>
      <c r="C5" s="31" t="s">
        <v>644</v>
      </c>
      <c r="D5" s="28" t="s">
        <v>630</v>
      </c>
      <c r="E5" s="28">
        <v>2</v>
      </c>
      <c r="F5" s="28">
        <v>35</v>
      </c>
      <c r="G5" s="28">
        <v>2</v>
      </c>
      <c r="H5" s="29"/>
    </row>
    <row r="6" spans="1:26" ht="75.75" customHeight="1">
      <c r="A6" s="28" t="s">
        <v>622</v>
      </c>
      <c r="B6" s="28" t="s">
        <v>642</v>
      </c>
      <c r="C6" s="31" t="s">
        <v>645</v>
      </c>
      <c r="D6" s="28" t="s">
        <v>630</v>
      </c>
      <c r="E6" s="28">
        <v>2</v>
      </c>
      <c r="F6" s="28">
        <v>35</v>
      </c>
      <c r="G6" s="28">
        <v>2</v>
      </c>
      <c r="H6" s="29"/>
    </row>
    <row r="7" spans="1:26" ht="75.75" customHeight="1">
      <c r="A7" s="28" t="s">
        <v>622</v>
      </c>
      <c r="B7" s="28" t="s">
        <v>648</v>
      </c>
      <c r="C7" s="28" t="s">
        <v>646</v>
      </c>
      <c r="D7" s="28" t="s">
        <v>631</v>
      </c>
      <c r="E7" s="28">
        <v>2</v>
      </c>
      <c r="F7" s="28">
        <v>25</v>
      </c>
      <c r="G7" s="28">
        <v>2</v>
      </c>
      <c r="H7" s="29"/>
    </row>
    <row r="8" spans="1:26" ht="75.75" customHeight="1">
      <c r="A8" s="28" t="s">
        <v>649</v>
      </c>
      <c r="B8" s="31" t="s">
        <v>650</v>
      </c>
      <c r="C8" s="28" t="s">
        <v>638</v>
      </c>
      <c r="D8" s="28" t="s">
        <v>632</v>
      </c>
      <c r="E8" s="28">
        <v>1</v>
      </c>
      <c r="F8" s="28">
        <v>5</v>
      </c>
      <c r="G8" s="28">
        <v>1</v>
      </c>
      <c r="H8" s="29"/>
    </row>
    <row r="9" spans="1:26" ht="75.75" customHeight="1">
      <c r="A9" s="28" t="s">
        <v>624</v>
      </c>
      <c r="B9" s="31" t="s">
        <v>643</v>
      </c>
      <c r="C9" s="31" t="s">
        <v>644</v>
      </c>
      <c r="D9" s="28" t="s">
        <v>630</v>
      </c>
      <c r="E9" s="28">
        <v>4</v>
      </c>
      <c r="F9" s="28">
        <v>70</v>
      </c>
      <c r="G9" s="28">
        <v>4</v>
      </c>
      <c r="H9" s="29"/>
    </row>
    <row r="10" spans="1:26" ht="75.75" customHeight="1">
      <c r="A10" s="28" t="s">
        <v>624</v>
      </c>
      <c r="B10" s="31" t="s">
        <v>648</v>
      </c>
      <c r="C10" s="28" t="s">
        <v>646</v>
      </c>
      <c r="D10" s="28" t="s">
        <v>631</v>
      </c>
      <c r="E10" s="28">
        <v>2</v>
      </c>
      <c r="F10" s="28">
        <v>25</v>
      </c>
      <c r="G10" s="28">
        <v>2</v>
      </c>
      <c r="H10" s="29"/>
    </row>
    <row r="11" spans="1:26" ht="75.75" customHeight="1">
      <c r="A11" s="28" t="s">
        <v>624</v>
      </c>
      <c r="B11" s="31" t="s">
        <v>655</v>
      </c>
      <c r="C11" s="28" t="s">
        <v>653</v>
      </c>
      <c r="D11" s="28" t="s">
        <v>632</v>
      </c>
      <c r="E11" s="28">
        <v>1</v>
      </c>
      <c r="F11" s="28">
        <v>5</v>
      </c>
      <c r="G11" s="28">
        <v>1</v>
      </c>
      <c r="H11" s="29"/>
    </row>
    <row r="12" spans="1:26" ht="75.75" customHeight="1">
      <c r="A12" s="28" t="s">
        <v>625</v>
      </c>
      <c r="B12" s="31" t="s">
        <v>643</v>
      </c>
      <c r="C12" s="28" t="s">
        <v>644</v>
      </c>
      <c r="D12" s="28" t="s">
        <v>630</v>
      </c>
      <c r="E12" s="28">
        <v>3</v>
      </c>
      <c r="F12" s="28">
        <v>60</v>
      </c>
      <c r="G12" s="28">
        <v>3</v>
      </c>
      <c r="H12" s="29"/>
    </row>
    <row r="13" spans="1:26" ht="75.75" customHeight="1">
      <c r="A13" s="28" t="s">
        <v>625</v>
      </c>
      <c r="B13" s="31" t="s">
        <v>648</v>
      </c>
      <c r="C13" s="28" t="s">
        <v>646</v>
      </c>
      <c r="D13" s="28" t="s">
        <v>631</v>
      </c>
      <c r="E13" s="28">
        <v>3</v>
      </c>
      <c r="F13" s="28">
        <v>30</v>
      </c>
      <c r="G13" s="28">
        <v>3</v>
      </c>
      <c r="H13" s="29"/>
    </row>
    <row r="14" spans="1:26" ht="75.75" customHeight="1">
      <c r="A14" s="28" t="s">
        <v>625</v>
      </c>
      <c r="B14" s="28" t="s">
        <v>656</v>
      </c>
      <c r="C14" s="28" t="s">
        <v>657</v>
      </c>
      <c r="D14" s="28" t="s">
        <v>632</v>
      </c>
      <c r="E14" s="28">
        <v>2</v>
      </c>
      <c r="F14" s="28">
        <v>10</v>
      </c>
      <c r="G14" s="28">
        <v>2</v>
      </c>
      <c r="H14" s="29"/>
    </row>
    <row r="15" spans="1:26" ht="75.75" customHeight="1">
      <c r="A15" s="28" t="s">
        <v>634</v>
      </c>
      <c r="B15" s="31" t="s">
        <v>658</v>
      </c>
      <c r="C15" s="31" t="s">
        <v>659</v>
      </c>
      <c r="D15" s="28" t="s">
        <v>630</v>
      </c>
      <c r="E15" s="28">
        <v>4</v>
      </c>
      <c r="F15" s="28">
        <v>35</v>
      </c>
      <c r="G15" s="28">
        <v>4</v>
      </c>
      <c r="H15" s="29"/>
    </row>
    <row r="16" spans="1:26" ht="75.75" customHeight="1">
      <c r="A16" s="28" t="s">
        <v>634</v>
      </c>
      <c r="B16" s="31" t="s">
        <v>648</v>
      </c>
      <c r="C16" s="31" t="s">
        <v>646</v>
      </c>
      <c r="D16" s="28" t="s">
        <v>630</v>
      </c>
      <c r="E16" s="28">
        <v>4</v>
      </c>
      <c r="F16" s="28">
        <v>35</v>
      </c>
      <c r="G16" s="28">
        <v>4</v>
      </c>
      <c r="H16" s="29"/>
    </row>
    <row r="17" spans="1:8" ht="75.75" customHeight="1">
      <c r="A17" s="28" t="s">
        <v>634</v>
      </c>
      <c r="B17" s="28" t="s">
        <v>651</v>
      </c>
      <c r="C17" s="31" t="s">
        <v>647</v>
      </c>
      <c r="D17" s="28" t="s">
        <v>631</v>
      </c>
      <c r="E17" s="28">
        <v>3</v>
      </c>
      <c r="F17" s="28">
        <v>25</v>
      </c>
      <c r="G17" s="28">
        <v>3</v>
      </c>
      <c r="H17" s="29"/>
    </row>
    <row r="18" spans="1:8" ht="75.75" customHeight="1">
      <c r="A18" s="28" t="s">
        <v>634</v>
      </c>
      <c r="B18" s="28" t="s">
        <v>660</v>
      </c>
      <c r="C18" s="28" t="s">
        <v>661</v>
      </c>
      <c r="D18" s="28" t="s">
        <v>632</v>
      </c>
      <c r="E18" s="28">
        <v>2</v>
      </c>
      <c r="F18" s="28">
        <v>5</v>
      </c>
      <c r="G18" s="28">
        <v>2</v>
      </c>
      <c r="H18" s="29"/>
    </row>
    <row r="19" spans="1:8" ht="75.75" customHeight="1">
      <c r="A19" s="28"/>
      <c r="B19" s="28"/>
      <c r="C19" s="28"/>
      <c r="D19" s="28"/>
      <c r="E19" s="28"/>
      <c r="F19" s="28"/>
      <c r="G19" s="28"/>
      <c r="H19" s="29"/>
    </row>
    <row r="20" spans="1:8" ht="75.75" customHeight="1">
      <c r="A20" s="28"/>
      <c r="B20" s="28"/>
      <c r="C20" s="28"/>
      <c r="D20" s="28"/>
      <c r="E20" s="28"/>
      <c r="F20" s="28"/>
      <c r="G20" s="28"/>
      <c r="H20" s="29"/>
    </row>
    <row r="21" spans="1:8" ht="75.75" customHeight="1">
      <c r="A21" s="28"/>
      <c r="B21" s="28"/>
      <c r="C21" s="28"/>
      <c r="D21" s="28"/>
      <c r="E21" s="28"/>
      <c r="F21" s="28"/>
      <c r="G21" s="28"/>
      <c r="H21" s="29"/>
    </row>
    <row r="22" spans="1:8" ht="75.75" customHeight="1">
      <c r="A22" s="28"/>
      <c r="B22" s="28"/>
      <c r="C22" s="28"/>
      <c r="D22" s="28"/>
      <c r="E22" s="28"/>
      <c r="F22" s="28"/>
      <c r="G22" s="28"/>
      <c r="H22" s="29"/>
    </row>
    <row r="23" spans="1:8" ht="75.75" customHeight="1">
      <c r="A23" s="28"/>
      <c r="B23" s="28"/>
      <c r="C23" s="28"/>
      <c r="D23" s="28"/>
      <c r="E23" s="28"/>
      <c r="F23" s="28"/>
      <c r="G23" s="28"/>
      <c r="H23" s="29"/>
    </row>
    <row r="24" spans="1:8" ht="75.75" customHeight="1">
      <c r="A24" s="28"/>
      <c r="B24" s="28"/>
      <c r="C24" s="28"/>
      <c r="D24" s="28"/>
      <c r="E24" s="28"/>
      <c r="F24" s="28"/>
      <c r="G24" s="28"/>
      <c r="H24" s="29"/>
    </row>
    <row r="25" spans="1:8" ht="75.75" customHeight="1">
      <c r="A25" s="28"/>
      <c r="B25" s="28"/>
      <c r="C25" s="28"/>
      <c r="D25" s="28"/>
      <c r="E25" s="28"/>
      <c r="F25" s="28"/>
      <c r="G25" s="28"/>
      <c r="H25" s="29"/>
    </row>
    <row r="26" spans="1:8" ht="75.75" customHeight="1">
      <c r="A26" s="28"/>
      <c r="B26" s="28"/>
      <c r="C26" s="28"/>
      <c r="D26" s="28"/>
      <c r="E26" s="28"/>
      <c r="F26" s="28"/>
      <c r="G26" s="28"/>
      <c r="H26" s="29"/>
    </row>
    <row r="27" spans="1:8" ht="75.75" customHeight="1">
      <c r="A27" s="28"/>
      <c r="B27" s="28"/>
      <c r="C27" s="28"/>
      <c r="D27" s="28"/>
      <c r="E27" s="28"/>
      <c r="F27" s="28"/>
      <c r="G27" s="28"/>
      <c r="H27" s="29"/>
    </row>
    <row r="28" spans="1:8" ht="75.75" customHeight="1">
      <c r="A28" s="28"/>
      <c r="B28" s="28"/>
      <c r="C28" s="28"/>
      <c r="D28" s="28"/>
      <c r="E28" s="28"/>
      <c r="F28" s="28"/>
      <c r="G28" s="28"/>
      <c r="H28" s="29"/>
    </row>
    <row r="29" spans="1:8" ht="75.75" customHeight="1">
      <c r="A29" s="28"/>
      <c r="B29" s="28"/>
      <c r="C29" s="28"/>
      <c r="D29" s="28"/>
      <c r="E29" s="28"/>
      <c r="F29" s="28"/>
      <c r="G29" s="28"/>
      <c r="H29" s="29"/>
    </row>
    <row r="30" spans="1:8" ht="75.75" customHeight="1">
      <c r="A30" s="28"/>
      <c r="B30" s="28"/>
      <c r="C30" s="28"/>
      <c r="D30" s="28"/>
      <c r="E30" s="28"/>
      <c r="F30" s="28"/>
      <c r="G30" s="28"/>
      <c r="H30" s="29"/>
    </row>
    <row r="31" spans="1:8" ht="75.75" customHeight="1">
      <c r="A31" s="28"/>
      <c r="B31" s="28"/>
      <c r="C31" s="28"/>
      <c r="D31" s="28"/>
      <c r="E31" s="28"/>
      <c r="F31" s="28"/>
      <c r="G31" s="28"/>
      <c r="H31" s="29"/>
    </row>
    <row r="32" spans="1:8" ht="75.75" customHeight="1">
      <c r="A32" s="28"/>
      <c r="B32" s="28"/>
      <c r="C32" s="28"/>
      <c r="D32" s="28"/>
      <c r="E32" s="28"/>
      <c r="F32" s="28"/>
      <c r="G32" s="28"/>
      <c r="H32" s="29"/>
    </row>
    <row r="33" spans="1:8" ht="75.75" customHeight="1">
      <c r="A33" s="28"/>
      <c r="B33" s="28"/>
      <c r="C33" s="28"/>
      <c r="D33" s="28"/>
      <c r="E33" s="28"/>
      <c r="F33" s="28"/>
      <c r="G33" s="28"/>
      <c r="H33" s="29"/>
    </row>
    <row r="34" spans="1:8" ht="75.75" customHeight="1">
      <c r="A34" s="28"/>
      <c r="B34" s="28"/>
      <c r="C34" s="28"/>
      <c r="D34" s="28"/>
      <c r="E34" s="28"/>
      <c r="F34" s="28"/>
      <c r="G34" s="28"/>
      <c r="H34" s="29"/>
    </row>
    <row r="35" spans="1:8" ht="75.75" customHeight="1">
      <c r="A35" s="28"/>
      <c r="B35" s="28"/>
      <c r="C35" s="28"/>
      <c r="D35" s="28"/>
      <c r="E35" s="28"/>
      <c r="F35" s="28"/>
      <c r="G35" s="28"/>
      <c r="H35" s="29"/>
    </row>
    <row r="36" spans="1:8" ht="75.75" customHeight="1">
      <c r="A36" s="28"/>
      <c r="B36" s="28"/>
      <c r="C36" s="28"/>
      <c r="D36" s="28"/>
      <c r="E36" s="28"/>
      <c r="F36" s="28"/>
      <c r="G36" s="28"/>
      <c r="H36" s="29"/>
    </row>
  </sheetData>
  <phoneticPr fontId="6" type="noConversion"/>
  <dataValidations count="3">
    <dataValidation type="list" allowBlank="1" showInputMessage="1" showErrorMessage="1" sqref="D2:D1048576" xr:uid="{A3480D38-FC03-49D1-A13C-2CC875218B19}">
      <formula1>"普通,稀有,極稀有"</formula1>
    </dataValidation>
    <dataValidation type="whole" allowBlank="1" showInputMessage="1" showErrorMessage="1" sqref="G2:G1048576" xr:uid="{E4F65793-3170-46A2-AA26-BB4DF4A3A112}">
      <formula1>1</formula1>
      <formula2>10</formula2>
    </dataValidation>
    <dataValidation type="whole" allowBlank="1" showInputMessage="1" showErrorMessage="1" sqref="F2:F1048576" xr:uid="{91C60228-42BD-4B8E-A897-55459D9AB049}">
      <formula1>5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selection sqref="A1:H1"/>
    </sheetView>
  </sheetViews>
  <sheetFormatPr defaultRowHeight="14.25"/>
  <cols>
    <col min="1" max="1" width="24" customWidth="1"/>
    <col min="2" max="2" width="22" customWidth="1"/>
    <col min="3" max="3" width="34" customWidth="1"/>
    <col min="4" max="4" width="30" customWidth="1"/>
    <col min="5" max="5" width="4" customWidth="1"/>
    <col min="6" max="6" width="24" customWidth="1"/>
    <col min="7" max="7" width="30" customWidth="1"/>
    <col min="8" max="8" width="36" customWidth="1"/>
  </cols>
  <sheetData>
    <row r="1" spans="1:8" ht="27.95" customHeight="1">
      <c r="A1" s="13" t="s">
        <v>190</v>
      </c>
      <c r="B1" s="13" t="s">
        <v>190</v>
      </c>
      <c r="C1" s="13" t="s">
        <v>190</v>
      </c>
      <c r="D1" s="13" t="s">
        <v>190</v>
      </c>
      <c r="E1" s="13" t="s">
        <v>190</v>
      </c>
      <c r="F1" s="13" t="s">
        <v>190</v>
      </c>
      <c r="G1" s="13" t="s">
        <v>190</v>
      </c>
      <c r="H1" s="13" t="s">
        <v>190</v>
      </c>
    </row>
    <row r="3" spans="1:8" ht="36" customHeight="1">
      <c r="A3" s="14" t="s">
        <v>191</v>
      </c>
      <c r="B3" s="15" t="s">
        <v>191</v>
      </c>
      <c r="C3" s="15" t="s">
        <v>191</v>
      </c>
      <c r="D3" s="15" t="s">
        <v>191</v>
      </c>
      <c r="E3" s="15" t="s">
        <v>191</v>
      </c>
      <c r="F3" s="15" t="s">
        <v>191</v>
      </c>
      <c r="G3" s="15" t="s">
        <v>191</v>
      </c>
      <c r="H3" s="16" t="s">
        <v>191</v>
      </c>
    </row>
    <row r="5" spans="1:8" ht="27.95" customHeight="1">
      <c r="A5" s="1" t="s">
        <v>192</v>
      </c>
      <c r="B5" s="1" t="s">
        <v>193</v>
      </c>
      <c r="C5" s="1" t="s">
        <v>194</v>
      </c>
      <c r="D5" s="1" t="s">
        <v>7</v>
      </c>
      <c r="E5" s="1"/>
      <c r="F5" s="8" t="s">
        <v>195</v>
      </c>
      <c r="G5" s="8" t="s">
        <v>196</v>
      </c>
      <c r="H5" s="8" t="s">
        <v>197</v>
      </c>
    </row>
    <row r="6" spans="1:8" ht="27.95" customHeight="1">
      <c r="A6" s="2" t="s">
        <v>198</v>
      </c>
      <c r="B6" s="2">
        <v>20</v>
      </c>
      <c r="C6" s="2" t="s">
        <v>199</v>
      </c>
      <c r="D6" s="2" t="s">
        <v>200</v>
      </c>
      <c r="E6" s="2"/>
      <c r="F6" s="2" t="s">
        <v>201</v>
      </c>
      <c r="G6" s="2" t="s">
        <v>202</v>
      </c>
      <c r="H6" s="2" t="s">
        <v>203</v>
      </c>
    </row>
    <row r="7" spans="1:8" ht="27.95" customHeight="1">
      <c r="A7" s="2" t="s">
        <v>204</v>
      </c>
      <c r="B7" s="2">
        <v>15</v>
      </c>
      <c r="C7" s="2" t="s">
        <v>205</v>
      </c>
      <c r="D7" s="2" t="s">
        <v>206</v>
      </c>
      <c r="E7" s="2"/>
      <c r="F7" s="2" t="s">
        <v>207</v>
      </c>
      <c r="G7" s="2" t="s">
        <v>208</v>
      </c>
      <c r="H7" s="2" t="s">
        <v>209</v>
      </c>
    </row>
    <row r="8" spans="1:8" ht="27.95" customHeight="1">
      <c r="A8" s="2" t="s">
        <v>210</v>
      </c>
      <c r="B8" s="2">
        <v>5</v>
      </c>
      <c r="C8" s="2" t="s">
        <v>211</v>
      </c>
      <c r="D8" s="2"/>
      <c r="E8" s="2"/>
      <c r="F8" s="2" t="s">
        <v>212</v>
      </c>
      <c r="G8" s="2" t="s">
        <v>213</v>
      </c>
      <c r="H8" s="2" t="s">
        <v>214</v>
      </c>
    </row>
    <row r="9" spans="1:8" ht="27.95" customHeight="1">
      <c r="A9" s="2" t="s">
        <v>215</v>
      </c>
      <c r="B9" s="2">
        <v>3</v>
      </c>
      <c r="C9" s="2" t="s">
        <v>216</v>
      </c>
      <c r="D9" s="2"/>
      <c r="E9" s="2"/>
      <c r="F9" s="2" t="s">
        <v>217</v>
      </c>
      <c r="G9" s="2" t="s">
        <v>218</v>
      </c>
      <c r="H9" s="2" t="s">
        <v>219</v>
      </c>
    </row>
    <row r="10" spans="1:8" ht="27.95" customHeight="1">
      <c r="A10" s="2" t="s">
        <v>220</v>
      </c>
      <c r="B10" s="2" t="s">
        <v>221</v>
      </c>
      <c r="C10" s="2" t="s">
        <v>222</v>
      </c>
      <c r="D10" s="2" t="s">
        <v>223</v>
      </c>
      <c r="E10" s="2"/>
      <c r="F10" s="2" t="s">
        <v>224</v>
      </c>
      <c r="G10" s="2" t="s">
        <v>225</v>
      </c>
      <c r="H10" s="2" t="s">
        <v>226</v>
      </c>
    </row>
    <row r="11" spans="1:8" ht="27.95" customHeight="1">
      <c r="A11" s="2" t="s">
        <v>227</v>
      </c>
      <c r="B11" s="2" t="s">
        <v>228</v>
      </c>
      <c r="C11" s="2" t="s">
        <v>229</v>
      </c>
      <c r="D11" s="2" t="s">
        <v>230</v>
      </c>
      <c r="E11" s="2"/>
      <c r="F11" s="2" t="s">
        <v>75</v>
      </c>
      <c r="G11" s="2" t="s">
        <v>231</v>
      </c>
      <c r="H11" s="2" t="s">
        <v>232</v>
      </c>
    </row>
    <row r="12" spans="1:8" ht="27.95" customHeight="1">
      <c r="A12" s="2" t="s">
        <v>233</v>
      </c>
      <c r="B12" s="2">
        <v>-2</v>
      </c>
      <c r="C12" s="2" t="s">
        <v>234</v>
      </c>
      <c r="D12" s="2"/>
      <c r="E12" s="2"/>
      <c r="F12" s="2" t="s">
        <v>74</v>
      </c>
      <c r="G12" s="2" t="s">
        <v>235</v>
      </c>
      <c r="H12" s="2" t="s">
        <v>236</v>
      </c>
    </row>
    <row r="13" spans="1:8" ht="27.95" customHeight="1">
      <c r="A13" s="2" t="s">
        <v>237</v>
      </c>
      <c r="B13" s="2">
        <v>2</v>
      </c>
      <c r="C13" s="2" t="s">
        <v>238</v>
      </c>
      <c r="D13" s="2"/>
      <c r="E13" s="2"/>
      <c r="F13" s="2" t="s">
        <v>46</v>
      </c>
      <c r="G13" s="2" t="s">
        <v>239</v>
      </c>
      <c r="H13" s="2" t="s">
        <v>240</v>
      </c>
    </row>
    <row r="14" spans="1:8" ht="27.95" customHeight="1">
      <c r="A14" s="2" t="s">
        <v>241</v>
      </c>
      <c r="B14" s="2">
        <v>-5</v>
      </c>
      <c r="C14" s="2" t="s">
        <v>242</v>
      </c>
      <c r="D14" s="2"/>
      <c r="E14" s="2"/>
      <c r="F14" s="2"/>
      <c r="G14" s="2"/>
      <c r="H14" s="2"/>
    </row>
    <row r="15" spans="1:8" ht="27.95" customHeight="1">
      <c r="A15" s="2" t="s">
        <v>243</v>
      </c>
      <c r="B15" s="2">
        <v>5</v>
      </c>
      <c r="C15" s="2" t="s">
        <v>242</v>
      </c>
      <c r="D15" s="2"/>
      <c r="E15" s="2"/>
      <c r="F15" s="2"/>
      <c r="G15" s="2"/>
      <c r="H15" s="2"/>
    </row>
    <row r="16" spans="1:8" ht="27.95" customHeight="1">
      <c r="A16" s="2" t="s">
        <v>244</v>
      </c>
      <c r="B16" s="2">
        <v>-5</v>
      </c>
      <c r="C16" s="2" t="s">
        <v>245</v>
      </c>
      <c r="D16" s="2"/>
      <c r="E16" s="2"/>
      <c r="F16" s="2"/>
      <c r="G16" s="2"/>
      <c r="H16" s="2"/>
    </row>
    <row r="17" spans="1:8" ht="27.95" customHeight="1">
      <c r="A17" s="2" t="s">
        <v>246</v>
      </c>
      <c r="B17" s="2">
        <v>70</v>
      </c>
      <c r="C17" s="2" t="s">
        <v>247</v>
      </c>
      <c r="D17" s="2" t="s">
        <v>248</v>
      </c>
      <c r="E17" s="2"/>
      <c r="F17" s="2"/>
      <c r="G17" s="2"/>
      <c r="H17" s="2"/>
    </row>
    <row r="18" spans="1:8" ht="27.95" customHeight="1">
      <c r="A18" s="2" t="s">
        <v>249</v>
      </c>
      <c r="B18" s="2">
        <v>100</v>
      </c>
      <c r="C18" s="2" t="s">
        <v>250</v>
      </c>
      <c r="D18" s="2"/>
      <c r="E18" s="2"/>
      <c r="F18" s="2"/>
      <c r="G18" s="2"/>
      <c r="H18" s="2"/>
    </row>
    <row r="19" spans="1:8" ht="27.95" customHeight="1">
      <c r="A19" s="2" t="s">
        <v>251</v>
      </c>
      <c r="B19" s="2">
        <v>-5</v>
      </c>
      <c r="C19" s="2" t="s">
        <v>252</v>
      </c>
      <c r="D19" s="2"/>
      <c r="E19" s="2"/>
      <c r="F19" s="2"/>
      <c r="G19" s="2"/>
      <c r="H19" s="2"/>
    </row>
  </sheetData>
  <mergeCells count="2">
    <mergeCell ref="A1:H1"/>
    <mergeCell ref="A3:H3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>
      <selection sqref="A1:F1"/>
    </sheetView>
  </sheetViews>
  <sheetFormatPr defaultRowHeight="14.25"/>
  <cols>
    <col min="1" max="1" width="16" customWidth="1"/>
    <col min="2" max="2" width="28" customWidth="1"/>
    <col min="3" max="3" width="26" customWidth="1"/>
    <col min="4" max="4" width="16" customWidth="1"/>
    <col min="5" max="5" width="28" customWidth="1"/>
    <col min="6" max="6" width="36" customWidth="1"/>
  </cols>
  <sheetData>
    <row r="1" spans="1:6" ht="27.95" customHeight="1">
      <c r="A1" s="13" t="s">
        <v>253</v>
      </c>
      <c r="B1" s="13" t="s">
        <v>253</v>
      </c>
      <c r="C1" s="13" t="s">
        <v>253</v>
      </c>
      <c r="D1" s="13" t="s">
        <v>253</v>
      </c>
      <c r="E1" s="13" t="s">
        <v>253</v>
      </c>
      <c r="F1" s="13" t="s">
        <v>253</v>
      </c>
    </row>
    <row r="3" spans="1:6" ht="36" customHeight="1">
      <c r="A3" s="14" t="s">
        <v>254</v>
      </c>
      <c r="B3" s="15" t="s">
        <v>254</v>
      </c>
      <c r="C3" s="15" t="s">
        <v>254</v>
      </c>
      <c r="D3" s="15" t="s">
        <v>254</v>
      </c>
      <c r="E3" s="15" t="s">
        <v>254</v>
      </c>
      <c r="F3" s="16" t="s">
        <v>254</v>
      </c>
    </row>
    <row r="5" spans="1:6" ht="27.95" customHeight="1">
      <c r="A5" s="1" t="s">
        <v>255</v>
      </c>
      <c r="B5" s="1" t="s">
        <v>256</v>
      </c>
      <c r="C5" s="1" t="s">
        <v>257</v>
      </c>
      <c r="D5" s="1" t="s">
        <v>258</v>
      </c>
      <c r="E5" s="1" t="s">
        <v>259</v>
      </c>
      <c r="F5" s="1" t="s">
        <v>7</v>
      </c>
    </row>
    <row r="6" spans="1:6" ht="27.95" customHeight="1">
      <c r="A6" s="2" t="s">
        <v>260</v>
      </c>
      <c r="B6" s="2" t="s">
        <v>261</v>
      </c>
      <c r="C6" s="2" t="s">
        <v>262</v>
      </c>
      <c r="D6" s="2" t="s">
        <v>263</v>
      </c>
      <c r="E6" s="2" t="s">
        <v>264</v>
      </c>
      <c r="F6" s="2" t="s">
        <v>265</v>
      </c>
    </row>
    <row r="7" spans="1:6" ht="27.95" customHeight="1">
      <c r="A7" s="2" t="s">
        <v>260</v>
      </c>
      <c r="B7" s="2" t="s">
        <v>266</v>
      </c>
      <c r="C7" s="2" t="s">
        <v>267</v>
      </c>
      <c r="D7" s="2" t="s">
        <v>263</v>
      </c>
      <c r="E7" s="2" t="s">
        <v>268</v>
      </c>
      <c r="F7" s="2" t="s">
        <v>269</v>
      </c>
    </row>
    <row r="8" spans="1:6" ht="27.95" customHeight="1">
      <c r="A8" s="2" t="s">
        <v>260</v>
      </c>
      <c r="B8" s="2" t="s">
        <v>270</v>
      </c>
      <c r="C8" s="2" t="s">
        <v>271</v>
      </c>
      <c r="D8" s="2" t="s">
        <v>263</v>
      </c>
      <c r="E8" s="2" t="s">
        <v>272</v>
      </c>
      <c r="F8" s="2" t="s">
        <v>273</v>
      </c>
    </row>
    <row r="9" spans="1:6" ht="27.95" customHeight="1">
      <c r="A9" s="2" t="s">
        <v>260</v>
      </c>
      <c r="B9" s="2" t="s">
        <v>274</v>
      </c>
      <c r="C9" s="2" t="s">
        <v>275</v>
      </c>
      <c r="D9" s="2" t="s">
        <v>263</v>
      </c>
      <c r="E9" s="2" t="s">
        <v>276</v>
      </c>
      <c r="F9" s="2"/>
    </row>
    <row r="10" spans="1:6" ht="27.95" customHeight="1">
      <c r="A10" s="2" t="s">
        <v>260</v>
      </c>
      <c r="B10" s="2" t="s">
        <v>277</v>
      </c>
      <c r="C10" s="2" t="s">
        <v>278</v>
      </c>
      <c r="D10" s="2" t="s">
        <v>263</v>
      </c>
      <c r="E10" s="2" t="s">
        <v>279</v>
      </c>
      <c r="F10" s="2"/>
    </row>
    <row r="11" spans="1:6" ht="27.95" customHeight="1">
      <c r="A11" s="2" t="s">
        <v>260</v>
      </c>
      <c r="B11" s="2" t="s">
        <v>280</v>
      </c>
      <c r="C11" s="2" t="s">
        <v>281</v>
      </c>
      <c r="D11" s="2" t="s">
        <v>263</v>
      </c>
      <c r="E11" s="2" t="s">
        <v>22</v>
      </c>
      <c r="F11" s="2" t="s">
        <v>282</v>
      </c>
    </row>
    <row r="12" spans="1:6" ht="27.95" customHeight="1">
      <c r="A12" s="2" t="s">
        <v>260</v>
      </c>
      <c r="B12" s="2" t="s">
        <v>283</v>
      </c>
      <c r="C12" s="2" t="s">
        <v>284</v>
      </c>
      <c r="D12" s="2" t="s">
        <v>263</v>
      </c>
      <c r="E12" s="2" t="s">
        <v>285</v>
      </c>
      <c r="F12" s="2"/>
    </row>
    <row r="13" spans="1:6" ht="27.95" customHeight="1">
      <c r="A13" s="2" t="s">
        <v>260</v>
      </c>
      <c r="B13" s="2" t="s">
        <v>286</v>
      </c>
      <c r="C13" s="2" t="s">
        <v>287</v>
      </c>
      <c r="D13" s="2" t="s">
        <v>263</v>
      </c>
      <c r="E13" s="2" t="s">
        <v>288</v>
      </c>
      <c r="F13" s="2"/>
    </row>
    <row r="14" spans="1:6" ht="27.95" customHeight="1">
      <c r="A14" s="2" t="s">
        <v>289</v>
      </c>
      <c r="B14" s="2" t="s">
        <v>290</v>
      </c>
      <c r="C14" s="2" t="s">
        <v>291</v>
      </c>
      <c r="D14" s="2" t="s">
        <v>263</v>
      </c>
      <c r="E14" s="2" t="s">
        <v>292</v>
      </c>
      <c r="F14" s="2" t="s">
        <v>293</v>
      </c>
    </row>
    <row r="15" spans="1:6" ht="27.95" customHeight="1">
      <c r="A15" s="2" t="s">
        <v>289</v>
      </c>
      <c r="B15" s="2" t="s">
        <v>294</v>
      </c>
      <c r="C15" s="2" t="s">
        <v>295</v>
      </c>
      <c r="D15" s="2" t="s">
        <v>263</v>
      </c>
      <c r="E15" s="2" t="s">
        <v>296</v>
      </c>
      <c r="F15" s="2"/>
    </row>
    <row r="16" spans="1:6" ht="27.95" customHeight="1">
      <c r="A16" s="2" t="s">
        <v>289</v>
      </c>
      <c r="B16" s="2" t="s">
        <v>297</v>
      </c>
      <c r="C16" s="2" t="s">
        <v>298</v>
      </c>
      <c r="D16" s="2" t="s">
        <v>263</v>
      </c>
      <c r="E16" s="2" t="s">
        <v>299</v>
      </c>
      <c r="F16" s="2"/>
    </row>
    <row r="17" spans="1:6" ht="27.95" customHeight="1">
      <c r="A17" s="2" t="s">
        <v>300</v>
      </c>
      <c r="B17" s="2" t="s">
        <v>301</v>
      </c>
      <c r="C17" s="2" t="s">
        <v>302</v>
      </c>
      <c r="D17" s="2" t="s">
        <v>263</v>
      </c>
      <c r="E17" s="2" t="s">
        <v>28</v>
      </c>
      <c r="F17" s="2" t="s">
        <v>303</v>
      </c>
    </row>
    <row r="18" spans="1:6" ht="27.95" customHeight="1">
      <c r="A18" s="2" t="s">
        <v>304</v>
      </c>
      <c r="B18" s="2" t="s">
        <v>305</v>
      </c>
      <c r="C18" s="2" t="s">
        <v>306</v>
      </c>
      <c r="D18" s="2" t="s">
        <v>263</v>
      </c>
      <c r="E18" s="2" t="s">
        <v>307</v>
      </c>
      <c r="F18" s="2" t="s">
        <v>308</v>
      </c>
    </row>
    <row r="19" spans="1:6" ht="27.95" customHeight="1">
      <c r="A19" s="2" t="s">
        <v>304</v>
      </c>
      <c r="B19" s="2" t="s">
        <v>309</v>
      </c>
      <c r="C19" s="2" t="s">
        <v>310</v>
      </c>
      <c r="D19" s="2" t="s">
        <v>263</v>
      </c>
      <c r="E19" s="2" t="s">
        <v>311</v>
      </c>
      <c r="F19" s="2" t="s">
        <v>312</v>
      </c>
    </row>
    <row r="20" spans="1:6" ht="27.95" customHeight="1">
      <c r="A20" s="2" t="s">
        <v>313</v>
      </c>
      <c r="B20" s="2" t="s">
        <v>314</v>
      </c>
      <c r="C20" s="2" t="s">
        <v>315</v>
      </c>
      <c r="D20" s="2" t="s">
        <v>316</v>
      </c>
      <c r="E20" s="2" t="s">
        <v>317</v>
      </c>
      <c r="F20" s="2" t="s">
        <v>318</v>
      </c>
    </row>
    <row r="21" spans="1:6" ht="27.95" customHeight="1">
      <c r="A21" s="2" t="s">
        <v>313</v>
      </c>
      <c r="B21" s="2" t="s">
        <v>319</v>
      </c>
      <c r="C21" s="2" t="s">
        <v>320</v>
      </c>
      <c r="D21" s="2" t="s">
        <v>321</v>
      </c>
      <c r="E21" s="2" t="s">
        <v>322</v>
      </c>
      <c r="F21" s="2" t="s">
        <v>323</v>
      </c>
    </row>
  </sheetData>
  <mergeCells count="2">
    <mergeCell ref="A1:F1"/>
    <mergeCell ref="A3:F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workbookViewId="0"/>
  </sheetViews>
  <sheetFormatPr defaultRowHeight="14.25"/>
  <cols>
    <col min="1" max="1" width="20" customWidth="1"/>
    <col min="2" max="2" width="18" customWidth="1"/>
    <col min="3" max="3" width="30" customWidth="1"/>
    <col min="4" max="5" width="18" customWidth="1"/>
    <col min="6" max="7" width="28" customWidth="1"/>
    <col min="8" max="8" width="32" customWidth="1"/>
  </cols>
  <sheetData>
    <row r="1" spans="1:8" ht="27.95" customHeight="1">
      <c r="A1" s="13" t="s">
        <v>324</v>
      </c>
      <c r="B1" s="13" t="s">
        <v>324</v>
      </c>
      <c r="C1" s="13" t="s">
        <v>324</v>
      </c>
      <c r="D1" s="13" t="s">
        <v>324</v>
      </c>
      <c r="E1" s="13" t="s">
        <v>324</v>
      </c>
      <c r="F1" s="13" t="s">
        <v>324</v>
      </c>
      <c r="G1" s="13" t="s">
        <v>324</v>
      </c>
      <c r="H1" s="13" t="s">
        <v>324</v>
      </c>
    </row>
    <row r="3" spans="1:8" ht="36" customHeight="1">
      <c r="A3" s="14" t="s">
        <v>325</v>
      </c>
      <c r="B3" s="15" t="s">
        <v>325</v>
      </c>
      <c r="C3" s="15" t="s">
        <v>325</v>
      </c>
      <c r="D3" s="15" t="s">
        <v>325</v>
      </c>
      <c r="E3" s="15" t="s">
        <v>325</v>
      </c>
      <c r="F3" s="15" t="s">
        <v>325</v>
      </c>
      <c r="G3" s="15" t="s">
        <v>325</v>
      </c>
      <c r="H3" s="16" t="s">
        <v>325</v>
      </c>
    </row>
    <row r="5" spans="1:8" ht="30" customHeight="1">
      <c r="A5" s="1" t="s">
        <v>38</v>
      </c>
      <c r="B5" s="1" t="s">
        <v>326</v>
      </c>
      <c r="C5" s="1" t="s">
        <v>327</v>
      </c>
      <c r="D5" s="1" t="s">
        <v>328</v>
      </c>
      <c r="E5" s="1" t="s">
        <v>329</v>
      </c>
      <c r="F5" s="1" t="s">
        <v>330</v>
      </c>
      <c r="G5" s="1" t="s">
        <v>331</v>
      </c>
      <c r="H5" s="1" t="s">
        <v>7</v>
      </c>
    </row>
    <row r="6" spans="1:8" ht="30" customHeight="1">
      <c r="A6" s="2" t="s">
        <v>332</v>
      </c>
      <c r="B6" s="2" t="s">
        <v>333</v>
      </c>
      <c r="C6" s="2" t="s">
        <v>334</v>
      </c>
      <c r="D6" s="2" t="s">
        <v>335</v>
      </c>
      <c r="E6" s="2" t="s">
        <v>54</v>
      </c>
      <c r="F6" s="2" t="s">
        <v>336</v>
      </c>
      <c r="G6" s="2" t="s">
        <v>337</v>
      </c>
      <c r="H6" s="2"/>
    </row>
    <row r="7" spans="1:8" ht="30" customHeight="1">
      <c r="A7" s="2" t="s">
        <v>87</v>
      </c>
      <c r="B7" s="2" t="s">
        <v>338</v>
      </c>
      <c r="C7" s="2" t="s">
        <v>339</v>
      </c>
      <c r="D7" s="2" t="s">
        <v>54</v>
      </c>
      <c r="E7" s="2" t="s">
        <v>54</v>
      </c>
      <c r="F7" s="2" t="s">
        <v>340</v>
      </c>
      <c r="G7" s="2" t="s">
        <v>341</v>
      </c>
      <c r="H7" s="2" t="s">
        <v>342</v>
      </c>
    </row>
    <row r="8" spans="1:8" ht="30" customHeight="1">
      <c r="A8" s="2" t="s">
        <v>113</v>
      </c>
      <c r="B8" s="2" t="s">
        <v>343</v>
      </c>
      <c r="C8" s="2" t="s">
        <v>344</v>
      </c>
      <c r="D8" s="2" t="s">
        <v>36</v>
      </c>
      <c r="E8" s="2" t="s">
        <v>345</v>
      </c>
      <c r="F8" s="2" t="s">
        <v>346</v>
      </c>
      <c r="G8" s="2" t="s">
        <v>347</v>
      </c>
      <c r="H8" s="2"/>
    </row>
    <row r="9" spans="1:8" ht="30" customHeight="1">
      <c r="A9" s="2" t="s">
        <v>135</v>
      </c>
      <c r="B9" s="2" t="s">
        <v>348</v>
      </c>
      <c r="C9" s="2" t="s">
        <v>349</v>
      </c>
      <c r="D9" s="2" t="s">
        <v>350</v>
      </c>
      <c r="E9" s="2" t="s">
        <v>351</v>
      </c>
      <c r="F9" s="2" t="s">
        <v>352</v>
      </c>
      <c r="G9" s="2" t="s">
        <v>353</v>
      </c>
      <c r="H9" s="2"/>
    </row>
    <row r="10" spans="1:8" ht="30" customHeight="1">
      <c r="A10" s="2" t="s">
        <v>354</v>
      </c>
      <c r="B10" s="2" t="s">
        <v>355</v>
      </c>
      <c r="C10" s="2" t="s">
        <v>356</v>
      </c>
      <c r="D10" s="2" t="s">
        <v>357</v>
      </c>
      <c r="E10" s="2" t="s">
        <v>358</v>
      </c>
      <c r="F10" s="2" t="s">
        <v>359</v>
      </c>
      <c r="G10" s="2" t="s">
        <v>360</v>
      </c>
      <c r="H10" s="2"/>
    </row>
    <row r="11" spans="1:8" ht="30" customHeight="1">
      <c r="A11" s="2" t="s">
        <v>361</v>
      </c>
      <c r="B11" s="2" t="s">
        <v>362</v>
      </c>
      <c r="C11" s="2" t="s">
        <v>363</v>
      </c>
      <c r="D11" s="2" t="s">
        <v>364</v>
      </c>
      <c r="E11" s="2" t="s">
        <v>365</v>
      </c>
      <c r="F11" s="2" t="s">
        <v>366</v>
      </c>
      <c r="G11" s="2" t="s">
        <v>367</v>
      </c>
      <c r="H11" s="2" t="s">
        <v>368</v>
      </c>
    </row>
    <row r="12" spans="1:8" ht="30" customHeight="1">
      <c r="A12" s="2" t="s">
        <v>369</v>
      </c>
      <c r="B12" s="2" t="s">
        <v>370</v>
      </c>
      <c r="C12" s="2" t="s">
        <v>356</v>
      </c>
      <c r="D12" s="2" t="s">
        <v>371</v>
      </c>
      <c r="E12" s="2" t="s">
        <v>108</v>
      </c>
      <c r="F12" s="2" t="s">
        <v>372</v>
      </c>
      <c r="G12" s="2" t="s">
        <v>373</v>
      </c>
      <c r="H12" s="2" t="s">
        <v>374</v>
      </c>
    </row>
  </sheetData>
  <mergeCells count="2">
    <mergeCell ref="A1:H1"/>
    <mergeCell ref="A3:H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4"/>
  <sheetViews>
    <sheetView showGridLines="0" workbookViewId="0">
      <selection sqref="A1:N1"/>
    </sheetView>
  </sheetViews>
  <sheetFormatPr defaultRowHeight="14.25"/>
  <cols>
    <col min="1" max="1" width="18" customWidth="1"/>
    <col min="2" max="2" width="20" customWidth="1"/>
    <col min="3" max="3" width="12" customWidth="1"/>
    <col min="4" max="4" width="14" customWidth="1"/>
    <col min="5" max="6" width="12" customWidth="1"/>
    <col min="7" max="7" width="26" customWidth="1"/>
    <col min="8" max="8" width="12" customWidth="1"/>
    <col min="9" max="9" width="14" customWidth="1"/>
    <col min="10" max="11" width="16" customWidth="1"/>
    <col min="12" max="12" width="30" customWidth="1"/>
    <col min="13" max="13" width="34" customWidth="1"/>
    <col min="14" max="14" width="30" customWidth="1"/>
  </cols>
  <sheetData>
    <row r="1" spans="1:14" ht="27.95" customHeight="1">
      <c r="A1" s="13" t="s">
        <v>375</v>
      </c>
      <c r="B1" s="13" t="s">
        <v>375</v>
      </c>
      <c r="C1" s="13" t="s">
        <v>375</v>
      </c>
      <c r="D1" s="13" t="s">
        <v>375</v>
      </c>
      <c r="E1" s="13" t="s">
        <v>375</v>
      </c>
      <c r="F1" s="13" t="s">
        <v>375</v>
      </c>
      <c r="G1" s="13" t="s">
        <v>375</v>
      </c>
      <c r="H1" s="13" t="s">
        <v>375</v>
      </c>
      <c r="I1" s="13" t="s">
        <v>375</v>
      </c>
      <c r="J1" s="13" t="s">
        <v>375</v>
      </c>
      <c r="K1" s="13" t="s">
        <v>375</v>
      </c>
      <c r="L1" s="13" t="s">
        <v>375</v>
      </c>
      <c r="M1" s="13" t="s">
        <v>375</v>
      </c>
      <c r="N1" s="13" t="s">
        <v>375</v>
      </c>
    </row>
    <row r="2" spans="1:14" ht="32.1" customHeight="1">
      <c r="A2" s="18" t="s">
        <v>376</v>
      </c>
      <c r="B2" s="19" t="s">
        <v>376</v>
      </c>
      <c r="C2" s="19" t="s">
        <v>376</v>
      </c>
      <c r="D2" s="19" t="s">
        <v>376</v>
      </c>
      <c r="E2" s="19" t="s">
        <v>376</v>
      </c>
      <c r="F2" s="19" t="s">
        <v>376</v>
      </c>
      <c r="G2" s="19" t="s">
        <v>376</v>
      </c>
      <c r="H2" s="19" t="s">
        <v>376</v>
      </c>
      <c r="I2" s="19" t="s">
        <v>376</v>
      </c>
      <c r="J2" s="19" t="s">
        <v>376</v>
      </c>
      <c r="K2" s="19" t="s">
        <v>376</v>
      </c>
      <c r="L2" s="19" t="s">
        <v>376</v>
      </c>
      <c r="M2" s="19" t="s">
        <v>376</v>
      </c>
      <c r="N2" s="20" t="s">
        <v>376</v>
      </c>
    </row>
    <row r="3" spans="1:14" ht="32.1" customHeight="1">
      <c r="A3" s="21" t="s">
        <v>376</v>
      </c>
      <c r="B3" s="22" t="s">
        <v>376</v>
      </c>
      <c r="C3" s="22" t="s">
        <v>376</v>
      </c>
      <c r="D3" s="22" t="s">
        <v>376</v>
      </c>
      <c r="E3" s="22" t="s">
        <v>376</v>
      </c>
      <c r="F3" s="22" t="s">
        <v>376</v>
      </c>
      <c r="G3" s="22" t="s">
        <v>376</v>
      </c>
      <c r="H3" s="22" t="s">
        <v>376</v>
      </c>
      <c r="I3" s="22" t="s">
        <v>376</v>
      </c>
      <c r="J3" s="22" t="s">
        <v>376</v>
      </c>
      <c r="K3" s="22" t="s">
        <v>376</v>
      </c>
      <c r="L3" s="22" t="s">
        <v>376</v>
      </c>
      <c r="M3" s="22" t="s">
        <v>376</v>
      </c>
      <c r="N3" s="23" t="s">
        <v>376</v>
      </c>
    </row>
    <row r="5" spans="1:14" ht="32.1" customHeight="1">
      <c r="A5" s="1" t="s">
        <v>377</v>
      </c>
      <c r="B5" s="1" t="s">
        <v>378</v>
      </c>
      <c r="C5" s="1" t="s">
        <v>60</v>
      </c>
      <c r="D5" s="1" t="s">
        <v>379</v>
      </c>
      <c r="E5" s="1" t="s">
        <v>63</v>
      </c>
      <c r="F5" s="1" t="s">
        <v>64</v>
      </c>
      <c r="G5" s="1" t="s">
        <v>380</v>
      </c>
      <c r="H5" s="1" t="s">
        <v>381</v>
      </c>
      <c r="I5" s="1" t="s">
        <v>382</v>
      </c>
      <c r="J5" s="1" t="s">
        <v>383</v>
      </c>
      <c r="K5" s="1" t="s">
        <v>384</v>
      </c>
      <c r="L5" s="1" t="s">
        <v>385</v>
      </c>
      <c r="M5" s="1" t="s">
        <v>78</v>
      </c>
      <c r="N5" s="1" t="s">
        <v>7</v>
      </c>
    </row>
    <row r="6" spans="1:14" ht="32.1" customHeight="1">
      <c r="A6" s="2" t="s">
        <v>386</v>
      </c>
      <c r="B6" s="2" t="s">
        <v>387</v>
      </c>
      <c r="C6" s="2" t="s">
        <v>83</v>
      </c>
      <c r="D6" s="2" t="s">
        <v>84</v>
      </c>
      <c r="E6" s="2" t="s">
        <v>85</v>
      </c>
      <c r="F6" s="2" t="s">
        <v>112</v>
      </c>
      <c r="G6" s="2" t="s">
        <v>388</v>
      </c>
      <c r="H6" s="2">
        <v>1</v>
      </c>
      <c r="I6" s="2" t="s">
        <v>321</v>
      </c>
      <c r="J6" s="2" t="s">
        <v>389</v>
      </c>
      <c r="K6" s="2" t="s">
        <v>390</v>
      </c>
      <c r="L6" s="2" t="s">
        <v>391</v>
      </c>
      <c r="M6" s="2" t="s">
        <v>392</v>
      </c>
      <c r="N6" s="2"/>
    </row>
    <row r="7" spans="1:14" ht="32.1" customHeight="1">
      <c r="A7" s="2" t="s">
        <v>393</v>
      </c>
      <c r="B7" s="2" t="s">
        <v>394</v>
      </c>
      <c r="C7" s="2" t="s">
        <v>83</v>
      </c>
      <c r="D7" s="2" t="s">
        <v>93</v>
      </c>
      <c r="E7" s="2" t="s">
        <v>85</v>
      </c>
      <c r="F7" s="2" t="s">
        <v>112</v>
      </c>
      <c r="G7" s="2" t="s">
        <v>395</v>
      </c>
      <c r="H7" s="2">
        <v>1</v>
      </c>
      <c r="I7" s="2" t="s">
        <v>321</v>
      </c>
      <c r="J7" s="2" t="s">
        <v>389</v>
      </c>
      <c r="K7" s="2" t="s">
        <v>390</v>
      </c>
      <c r="L7" s="2" t="s">
        <v>391</v>
      </c>
      <c r="M7" s="2" t="s">
        <v>396</v>
      </c>
      <c r="N7" s="2"/>
    </row>
    <row r="8" spans="1:14" ht="32.1" customHeight="1">
      <c r="A8" s="2" t="s">
        <v>397</v>
      </c>
      <c r="B8" s="2" t="s">
        <v>398</v>
      </c>
      <c r="C8" s="2" t="s">
        <v>83</v>
      </c>
      <c r="D8" s="2" t="s">
        <v>399</v>
      </c>
      <c r="E8" s="2" t="s">
        <v>85</v>
      </c>
      <c r="F8" s="2" t="s">
        <v>112</v>
      </c>
      <c r="G8" s="2" t="s">
        <v>400</v>
      </c>
      <c r="H8" s="2">
        <v>1</v>
      </c>
      <c r="I8" s="2" t="s">
        <v>321</v>
      </c>
      <c r="J8" s="2" t="s">
        <v>389</v>
      </c>
      <c r="K8" s="2" t="s">
        <v>390</v>
      </c>
      <c r="L8" s="2" t="s">
        <v>401</v>
      </c>
      <c r="M8" s="2" t="s">
        <v>402</v>
      </c>
      <c r="N8" s="2"/>
    </row>
    <row r="9" spans="1:14" ht="32.1" customHeight="1">
      <c r="A9" s="2" t="s">
        <v>403</v>
      </c>
      <c r="B9" s="2" t="s">
        <v>404</v>
      </c>
      <c r="C9" s="2" t="s">
        <v>83</v>
      </c>
      <c r="D9" s="2" t="s">
        <v>405</v>
      </c>
      <c r="E9" s="2" t="s">
        <v>85</v>
      </c>
      <c r="F9" s="2" t="s">
        <v>112</v>
      </c>
      <c r="G9" s="2" t="s">
        <v>406</v>
      </c>
      <c r="H9" s="2">
        <v>1</v>
      </c>
      <c r="I9" s="2" t="s">
        <v>321</v>
      </c>
      <c r="J9" s="2" t="s">
        <v>389</v>
      </c>
      <c r="K9" s="2" t="s">
        <v>390</v>
      </c>
      <c r="L9" s="2" t="s">
        <v>407</v>
      </c>
      <c r="M9" s="2" t="s">
        <v>408</v>
      </c>
      <c r="N9" s="2"/>
    </row>
    <row r="10" spans="1:14" ht="32.1" customHeight="1">
      <c r="A10" s="2" t="s">
        <v>409</v>
      </c>
      <c r="B10" s="2" t="s">
        <v>410</v>
      </c>
      <c r="C10" s="2" t="s">
        <v>83</v>
      </c>
      <c r="D10" s="2" t="s">
        <v>411</v>
      </c>
      <c r="E10" s="2" t="s">
        <v>85</v>
      </c>
      <c r="F10" s="2" t="s">
        <v>112</v>
      </c>
      <c r="G10" s="2" t="s">
        <v>412</v>
      </c>
      <c r="H10" s="2">
        <v>2</v>
      </c>
      <c r="I10" s="2" t="s">
        <v>321</v>
      </c>
      <c r="J10" s="2" t="s">
        <v>389</v>
      </c>
      <c r="K10" s="2" t="s">
        <v>390</v>
      </c>
      <c r="L10" s="2" t="s">
        <v>413</v>
      </c>
      <c r="M10" s="2" t="s">
        <v>414</v>
      </c>
      <c r="N10" s="2"/>
    </row>
    <row r="11" spans="1:14" ht="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32.1" customHeight="1">
      <c r="A12" s="8" t="s">
        <v>377</v>
      </c>
      <c r="B12" s="8" t="s">
        <v>415</v>
      </c>
      <c r="C12" s="8" t="s">
        <v>8</v>
      </c>
      <c r="D12" s="8" t="s">
        <v>59</v>
      </c>
      <c r="E12" s="8" t="s">
        <v>61</v>
      </c>
      <c r="F12" s="8" t="s">
        <v>64</v>
      </c>
      <c r="G12" s="8" t="s">
        <v>416</v>
      </c>
      <c r="H12" s="8" t="s">
        <v>417</v>
      </c>
      <c r="I12" s="8" t="s">
        <v>418</v>
      </c>
      <c r="J12" s="8" t="s">
        <v>419</v>
      </c>
      <c r="K12" s="8" t="s">
        <v>420</v>
      </c>
      <c r="L12" s="8" t="s">
        <v>421</v>
      </c>
      <c r="M12" s="8" t="s">
        <v>422</v>
      </c>
      <c r="N12" s="8" t="s">
        <v>79</v>
      </c>
    </row>
    <row r="13" spans="1:14" ht="32.1" customHeight="1">
      <c r="A13" s="2" t="s">
        <v>386</v>
      </c>
      <c r="B13" s="2" t="s">
        <v>423</v>
      </c>
      <c r="C13" s="2" t="s">
        <v>140</v>
      </c>
      <c r="D13" s="2"/>
      <c r="E13" s="2" t="s">
        <v>84</v>
      </c>
      <c r="F13" s="2" t="s">
        <v>112</v>
      </c>
      <c r="G13" s="2">
        <v>45</v>
      </c>
      <c r="H13" s="2">
        <v>0</v>
      </c>
      <c r="I13" s="2">
        <v>1</v>
      </c>
      <c r="J13" s="2" t="s">
        <v>321</v>
      </c>
      <c r="K13" s="2"/>
      <c r="L13" s="2" t="s">
        <v>389</v>
      </c>
      <c r="M13" s="2" t="s">
        <v>424</v>
      </c>
      <c r="N13" s="2" t="s">
        <v>425</v>
      </c>
    </row>
    <row r="14" spans="1:14" ht="32.1" customHeight="1">
      <c r="A14" s="2" t="s">
        <v>386</v>
      </c>
      <c r="B14" s="2" t="s">
        <v>426</v>
      </c>
      <c r="C14" s="2" t="s">
        <v>145</v>
      </c>
      <c r="D14" s="2"/>
      <c r="E14" s="2" t="s">
        <v>84</v>
      </c>
      <c r="F14" s="2" t="s">
        <v>112</v>
      </c>
      <c r="G14" s="2">
        <v>35</v>
      </c>
      <c r="H14" s="2">
        <v>0</v>
      </c>
      <c r="I14" s="2">
        <v>1</v>
      </c>
      <c r="J14" s="2" t="s">
        <v>321</v>
      </c>
      <c r="K14" s="2"/>
      <c r="L14" s="2" t="s">
        <v>389</v>
      </c>
      <c r="M14" s="2" t="s">
        <v>427</v>
      </c>
      <c r="N14" s="2" t="s">
        <v>428</v>
      </c>
    </row>
    <row r="15" spans="1:14" ht="32.1" customHeight="1">
      <c r="A15" s="2" t="s">
        <v>386</v>
      </c>
      <c r="B15" s="2" t="s">
        <v>429</v>
      </c>
      <c r="C15" s="2" t="s">
        <v>148</v>
      </c>
      <c r="D15" s="2"/>
      <c r="E15" s="2" t="s">
        <v>84</v>
      </c>
      <c r="F15" s="2" t="s">
        <v>112</v>
      </c>
      <c r="G15" s="2">
        <v>15</v>
      </c>
      <c r="H15" s="2">
        <v>0</v>
      </c>
      <c r="I15" s="2">
        <v>1</v>
      </c>
      <c r="J15" s="2" t="s">
        <v>321</v>
      </c>
      <c r="K15" s="2"/>
      <c r="L15" s="2" t="s">
        <v>389</v>
      </c>
      <c r="M15" s="2" t="s">
        <v>430</v>
      </c>
      <c r="N15" s="2" t="s">
        <v>431</v>
      </c>
    </row>
    <row r="16" spans="1:14" ht="32.1" customHeight="1">
      <c r="A16" s="2" t="s">
        <v>386</v>
      </c>
      <c r="B16" s="2" t="s">
        <v>432</v>
      </c>
      <c r="C16" s="2" t="s">
        <v>151</v>
      </c>
      <c r="D16" s="2"/>
      <c r="E16" s="2" t="s">
        <v>84</v>
      </c>
      <c r="F16" s="2" t="s">
        <v>152</v>
      </c>
      <c r="G16" s="2">
        <v>5</v>
      </c>
      <c r="H16" s="2">
        <v>0</v>
      </c>
      <c r="I16" s="2">
        <v>1</v>
      </c>
      <c r="J16" s="2" t="s">
        <v>263</v>
      </c>
      <c r="K16" s="2" t="s">
        <v>433</v>
      </c>
      <c r="L16" s="2" t="s">
        <v>389</v>
      </c>
      <c r="M16" s="2" t="s">
        <v>434</v>
      </c>
      <c r="N16" s="2" t="s">
        <v>435</v>
      </c>
    </row>
    <row r="17" spans="1:14" ht="32.1" customHeight="1">
      <c r="A17" s="2" t="s">
        <v>393</v>
      </c>
      <c r="B17" s="2" t="s">
        <v>436</v>
      </c>
      <c r="C17" s="2" t="s">
        <v>156</v>
      </c>
      <c r="D17" s="2"/>
      <c r="E17" s="2" t="s">
        <v>93</v>
      </c>
      <c r="F17" s="2" t="s">
        <v>112</v>
      </c>
      <c r="G17" s="2">
        <v>55</v>
      </c>
      <c r="H17" s="2">
        <v>0</v>
      </c>
      <c r="I17" s="2">
        <v>1</v>
      </c>
      <c r="J17" s="2" t="s">
        <v>321</v>
      </c>
      <c r="K17" s="2"/>
      <c r="L17" s="2" t="s">
        <v>389</v>
      </c>
      <c r="M17" s="2" t="s">
        <v>437</v>
      </c>
      <c r="N17" s="2" t="s">
        <v>438</v>
      </c>
    </row>
    <row r="18" spans="1:14" ht="32.1" customHeight="1">
      <c r="A18" s="2" t="s">
        <v>393</v>
      </c>
      <c r="B18" s="2" t="s">
        <v>439</v>
      </c>
      <c r="C18" s="2" t="s">
        <v>161</v>
      </c>
      <c r="D18" s="2"/>
      <c r="E18" s="2" t="s">
        <v>93</v>
      </c>
      <c r="F18" s="2" t="s">
        <v>112</v>
      </c>
      <c r="G18" s="2">
        <v>35</v>
      </c>
      <c r="H18" s="2">
        <v>0</v>
      </c>
      <c r="I18" s="2">
        <v>1</v>
      </c>
      <c r="J18" s="2" t="s">
        <v>321</v>
      </c>
      <c r="K18" s="2"/>
      <c r="L18" s="2" t="s">
        <v>389</v>
      </c>
      <c r="M18" s="2" t="s">
        <v>440</v>
      </c>
      <c r="N18" s="2" t="s">
        <v>441</v>
      </c>
    </row>
    <row r="19" spans="1:14" ht="32.1" customHeight="1">
      <c r="A19" s="2" t="s">
        <v>393</v>
      </c>
      <c r="B19" s="2" t="s">
        <v>442</v>
      </c>
      <c r="C19" s="2" t="s">
        <v>163</v>
      </c>
      <c r="D19" s="2"/>
      <c r="E19" s="2" t="s">
        <v>93</v>
      </c>
      <c r="F19" s="2" t="s">
        <v>152</v>
      </c>
      <c r="G19" s="2">
        <v>10</v>
      </c>
      <c r="H19" s="2">
        <v>0</v>
      </c>
      <c r="I19" s="2">
        <v>1</v>
      </c>
      <c r="J19" s="2" t="s">
        <v>263</v>
      </c>
      <c r="K19" s="2" t="s">
        <v>443</v>
      </c>
      <c r="L19" s="2" t="s">
        <v>389</v>
      </c>
      <c r="M19" s="2" t="s">
        <v>444</v>
      </c>
      <c r="N19" s="2" t="s">
        <v>445</v>
      </c>
    </row>
    <row r="20" spans="1:14" ht="32.1" customHeight="1">
      <c r="A20" s="2" t="s">
        <v>397</v>
      </c>
      <c r="B20" s="2" t="s">
        <v>446</v>
      </c>
      <c r="C20" s="2" t="s">
        <v>167</v>
      </c>
      <c r="D20" s="2"/>
      <c r="E20" s="2" t="s">
        <v>104</v>
      </c>
      <c r="F20" s="2" t="s">
        <v>112</v>
      </c>
      <c r="G20" s="2">
        <v>45</v>
      </c>
      <c r="H20" s="2">
        <v>0</v>
      </c>
      <c r="I20" s="2">
        <v>1</v>
      </c>
      <c r="J20" s="2" t="s">
        <v>321</v>
      </c>
      <c r="K20" s="2"/>
      <c r="L20" s="2" t="s">
        <v>389</v>
      </c>
      <c r="M20" s="2" t="s">
        <v>447</v>
      </c>
      <c r="N20" s="2" t="s">
        <v>448</v>
      </c>
    </row>
    <row r="21" spans="1:14" ht="32.1" customHeight="1">
      <c r="A21" s="2" t="s">
        <v>397</v>
      </c>
      <c r="B21" s="2" t="s">
        <v>449</v>
      </c>
      <c r="C21" s="2" t="s">
        <v>175</v>
      </c>
      <c r="D21" s="2"/>
      <c r="E21" s="2" t="s">
        <v>104</v>
      </c>
      <c r="F21" s="2" t="s">
        <v>112</v>
      </c>
      <c r="G21" s="2">
        <v>35</v>
      </c>
      <c r="H21" s="2">
        <v>0</v>
      </c>
      <c r="I21" s="2">
        <v>1</v>
      </c>
      <c r="J21" s="2" t="s">
        <v>321</v>
      </c>
      <c r="K21" s="2"/>
      <c r="L21" s="2" t="s">
        <v>389</v>
      </c>
      <c r="M21" s="2" t="s">
        <v>450</v>
      </c>
      <c r="N21" s="2" t="s">
        <v>451</v>
      </c>
    </row>
    <row r="22" spans="1:14" ht="32.1" customHeight="1">
      <c r="A22" s="2" t="s">
        <v>397</v>
      </c>
      <c r="B22" s="2" t="s">
        <v>452</v>
      </c>
      <c r="C22" s="2" t="s">
        <v>178</v>
      </c>
      <c r="D22" s="2"/>
      <c r="E22" s="2" t="s">
        <v>104</v>
      </c>
      <c r="F22" s="2" t="s">
        <v>152</v>
      </c>
      <c r="G22" s="2">
        <v>20</v>
      </c>
      <c r="H22" s="2">
        <v>0</v>
      </c>
      <c r="I22" s="2">
        <v>1</v>
      </c>
      <c r="J22" s="2" t="s">
        <v>321</v>
      </c>
      <c r="K22" s="2"/>
      <c r="L22" s="2" t="s">
        <v>389</v>
      </c>
      <c r="M22" s="2" t="s">
        <v>453</v>
      </c>
      <c r="N22" s="2" t="s">
        <v>454</v>
      </c>
    </row>
    <row r="23" spans="1:14" ht="32.1" customHeight="1">
      <c r="A23" s="2" t="s">
        <v>403</v>
      </c>
      <c r="B23" s="2" t="s">
        <v>455</v>
      </c>
      <c r="C23" s="2" t="s">
        <v>181</v>
      </c>
      <c r="D23" s="2"/>
      <c r="E23" s="2" t="s">
        <v>99</v>
      </c>
      <c r="F23" s="2" t="s">
        <v>112</v>
      </c>
      <c r="G23" s="2">
        <v>70</v>
      </c>
      <c r="H23" s="2">
        <v>0</v>
      </c>
      <c r="I23" s="2">
        <v>1</v>
      </c>
      <c r="J23" s="2" t="s">
        <v>321</v>
      </c>
      <c r="K23" s="2"/>
      <c r="L23" s="2" t="s">
        <v>389</v>
      </c>
      <c r="M23" s="2" t="s">
        <v>456</v>
      </c>
      <c r="N23" s="2" t="s">
        <v>457</v>
      </c>
    </row>
    <row r="24" spans="1:14" ht="32.1" customHeight="1">
      <c r="A24" s="2" t="s">
        <v>403</v>
      </c>
      <c r="B24" s="2" t="s">
        <v>458</v>
      </c>
      <c r="C24" s="2" t="s">
        <v>186</v>
      </c>
      <c r="D24" s="2"/>
      <c r="E24" s="2" t="s">
        <v>99</v>
      </c>
      <c r="F24" s="2" t="s">
        <v>152</v>
      </c>
      <c r="G24" s="2">
        <v>30</v>
      </c>
      <c r="H24" s="2">
        <v>0</v>
      </c>
      <c r="I24" s="2">
        <v>1</v>
      </c>
      <c r="J24" s="2" t="s">
        <v>321</v>
      </c>
      <c r="K24" s="2"/>
      <c r="L24" s="2" t="s">
        <v>389</v>
      </c>
      <c r="M24" s="2" t="s">
        <v>459</v>
      </c>
      <c r="N24" s="2" t="s">
        <v>460</v>
      </c>
    </row>
    <row r="25" spans="1:14" ht="32.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2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2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2.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2.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2.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2.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2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2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2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2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32.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32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32.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32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32.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32.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32.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32.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32.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32.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32.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32.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32.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32.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32.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32.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32.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2.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2.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2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2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2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2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2.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2.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2.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2.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2.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2.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2.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2.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2.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2.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2.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2.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2.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2.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2.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2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2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2.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2.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2.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2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2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2" spans="1:14" ht="32.1" customHeight="1">
      <c r="A82" s="18" t="s">
        <v>461</v>
      </c>
      <c r="B82" s="19" t="s">
        <v>461</v>
      </c>
      <c r="C82" s="19" t="s">
        <v>461</v>
      </c>
      <c r="D82" s="19" t="s">
        <v>461</v>
      </c>
      <c r="E82" s="19" t="s">
        <v>461</v>
      </c>
      <c r="F82" s="19" t="s">
        <v>461</v>
      </c>
      <c r="G82" s="19" t="s">
        <v>461</v>
      </c>
      <c r="H82" s="19" t="s">
        <v>461</v>
      </c>
      <c r="I82" s="19" t="s">
        <v>461</v>
      </c>
      <c r="J82" s="19" t="s">
        <v>461</v>
      </c>
      <c r="K82" s="19" t="s">
        <v>461</v>
      </c>
      <c r="L82" s="19" t="s">
        <v>461</v>
      </c>
      <c r="M82" s="19" t="s">
        <v>461</v>
      </c>
      <c r="N82" s="20" t="s">
        <v>461</v>
      </c>
    </row>
    <row r="83" spans="1:14" ht="32.1" customHeight="1">
      <c r="A83" s="24" t="s">
        <v>461</v>
      </c>
      <c r="B83" s="25" t="s">
        <v>461</v>
      </c>
      <c r="C83" s="25" t="s">
        <v>461</v>
      </c>
      <c r="D83" s="25" t="s">
        <v>461</v>
      </c>
      <c r="E83" s="25" t="s">
        <v>461</v>
      </c>
      <c r="F83" s="25" t="s">
        <v>461</v>
      </c>
      <c r="G83" s="25" t="s">
        <v>461</v>
      </c>
      <c r="H83" s="25" t="s">
        <v>461</v>
      </c>
      <c r="I83" s="25" t="s">
        <v>461</v>
      </c>
      <c r="J83" s="25" t="s">
        <v>461</v>
      </c>
      <c r="K83" s="25" t="s">
        <v>461</v>
      </c>
      <c r="L83" s="25" t="s">
        <v>461</v>
      </c>
      <c r="M83" s="25" t="s">
        <v>461</v>
      </c>
      <c r="N83" s="26" t="s">
        <v>461</v>
      </c>
    </row>
    <row r="84" spans="1:14" ht="32.1" customHeight="1">
      <c r="A84" s="21" t="s">
        <v>461</v>
      </c>
      <c r="B84" s="22" t="s">
        <v>461</v>
      </c>
      <c r="C84" s="22" t="s">
        <v>461</v>
      </c>
      <c r="D84" s="22" t="s">
        <v>461</v>
      </c>
      <c r="E84" s="22" t="s">
        <v>461</v>
      </c>
      <c r="F84" s="22" t="s">
        <v>461</v>
      </c>
      <c r="G84" s="22" t="s">
        <v>461</v>
      </c>
      <c r="H84" s="22" t="s">
        <v>461</v>
      </c>
      <c r="I84" s="22" t="s">
        <v>461</v>
      </c>
      <c r="J84" s="22" t="s">
        <v>461</v>
      </c>
      <c r="K84" s="22" t="s">
        <v>461</v>
      </c>
      <c r="L84" s="22" t="s">
        <v>461</v>
      </c>
      <c r="M84" s="22" t="s">
        <v>461</v>
      </c>
      <c r="N84" s="23" t="s">
        <v>461</v>
      </c>
    </row>
  </sheetData>
  <mergeCells count="3">
    <mergeCell ref="A1:N1"/>
    <mergeCell ref="A2:N3"/>
    <mergeCell ref="A82:N84"/>
  </mergeCells>
  <phoneticPr fontId="6" type="noConversion"/>
  <dataValidations count="7">
    <dataValidation type="list" sqref="C6:C10" xr:uid="{00000000-0002-0000-0500-000000000000}">
      <formula1>"Draft,Review,Ready,Tested,Implemented,Hold"</formula1>
    </dataValidation>
    <dataValidation type="list" sqref="D6:D10" xr:uid="{00000000-0002-0000-0500-000001000000}">
      <formula1>"Food,Resource,Tool,Weapon,Tech,Clue,Mixed,Zombie,Other"</formula1>
    </dataValidation>
    <dataValidation type="list" sqref="E6:E10" xr:uid="{00000000-0002-0000-0500-000002000000}">
      <formula1>"Start,Early,Mid,Late,Boss/Test"</formula1>
    </dataValidation>
    <dataValidation type="list" sqref="F6:F10 F13:F80" xr:uid="{00000000-0002-0000-0500-000003000000}">
      <formula1>"Default,Common,Uncommon,Rare,Very Rare"</formula1>
    </dataValidation>
    <dataValidation type="list" sqref="I6:I10 J13:J80" xr:uid="{00000000-0002-0000-0500-000004000000}">
      <formula1>"Yes,No"</formula1>
    </dataValidation>
    <dataValidation type="list" sqref="J6:K10 L13:L80" xr:uid="{00000000-0002-0000-0500-000005000000}">
      <formula1>"CardInventory,DiscardPile,Exhausted,None"</formula1>
    </dataValidation>
    <dataValidation type="list" sqref="E13:E80" xr:uid="{00000000-0002-0000-0500-000006000000}">
      <formula1>"Food,Resource,Combat,Explore,Build,Craft,Planning,Zombie,Other"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How to Discuss</vt:lpstr>
      <vt:lpstr>Card Design</vt:lpstr>
      <vt:lpstr>Event Schedule</vt:lpstr>
      <vt:lpstr>Region Design</vt:lpstr>
      <vt:lpstr>Region CardPack Design</vt:lpstr>
      <vt:lpstr>Balance Baseline</vt:lpstr>
      <vt:lpstr>Effect Dictionary</vt:lpstr>
      <vt:lpstr>Sources and Packs</vt:lpstr>
      <vt:lpstr>Card Packs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張肇豐</cp:lastModifiedBy>
  <dcterms:modified xsi:type="dcterms:W3CDTF">2026-07-31T08:45:50Z</dcterms:modified>
</cp:coreProperties>
</file>