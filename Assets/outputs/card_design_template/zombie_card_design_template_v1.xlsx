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637dd7fce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Discuss" sheetId="1" r:id="Rd0c0cb96be564406"/>
    <x:sheet xmlns:r="http://schemas.openxmlformats.org/officeDocument/2006/relationships" name="Card Design" sheetId="2" r:id="Rfcb5c36611f5479c"/>
    <x:sheet xmlns:r="http://schemas.openxmlformats.org/officeDocument/2006/relationships" name="Balance Baseline" sheetId="3" r:id="R572df3ba81974d50"/>
    <x:sheet xmlns:r="http://schemas.openxmlformats.org/officeDocument/2006/relationships" name="Effect Dictionary" sheetId="4" r:id="Rf9a1d4d6a2f54404"/>
    <x:sheet xmlns:r="http://schemas.openxmlformats.org/officeDocument/2006/relationships" name="Sources and Packs" sheetId="5" r:id="Rdb243f1873634855"/>
    <x:sheet xmlns:r="http://schemas.openxmlformats.org/officeDocument/2006/relationships" name="Card Packs" sheetId="6" r:id="R63c46f0c3faf4be7"/>
  </x:sheets>
</x:workbook>
</file>

<file path=xl/sharedStrings.xml><?xml version="1.0" encoding="utf-8"?>
<x:sst xmlns:x="http://schemas.openxmlformats.org/spreadsheetml/2006/main">
  <x:si>
    <x:t xml:space="preserve">Zombie Card Survive - 第一版卡牌設計討論基板</x:t>
  </x:si>
  <x:si>
    <x:t xml:space="preserve">你可以直接在 Discord / Codex 用這個格式丟給我，或填 Card Design 表後叫我一起檢查。</x:t>
  </x:si>
  <x:si>
    <x:t xml:space="preserve">聊天討論格式</x:t>
  </x:si>
  <x:si>
    <x:t xml:space="preserve">第一批卡牌建議數量</x:t>
  </x:si>
  <x:si>
    <x:t xml:space="preserve">建議張數</x:t>
  </x:si>
  <x:si>
    <x:t xml:space="preserve">用途</x:t>
  </x:si>
  <x:si>
    <x:t xml:space="preserve">目前優先度</x:t>
  </x:si>
  <x:si>
    <x:t xml:space="preserve">備註</x:t>
  </x:si>
  <x:si>
    <x:t xml:space="preserve">卡名</x:t>
  </x:si>
  <x:si>
    <x:t xml:space="preserve">例如：烹飪</x:t>
  </x:si>
  <x:si>
    <x:t xml:space="preserve">食物卡</x:t>
  </x:si>
  <x:si>
    <x:t xml:space="preserve">4-6</x:t>
  </x:si>
  <x:si>
    <x:t xml:space="preserve">處理輪末消耗與成本</x:t>
  </x:si>
  <x:si>
    <x:t xml:space="preserve">高</x:t>
  </x:si>
  <x:si>
    <x:t xml:space="preserve">先做標準卡與一張轉換卡</x:t>
  </x:si>
  <x:si>
    <x:t xml:space="preserve">類型</x:t>
  </x:si>
  <x:si>
    <x:t xml:space="preserve">Food / Resource / Combat / Explore / Build / Craft / Planning / Zombie</x:t>
  </x:si>
  <x:si>
    <x:t xml:space="preserve">資源卡</x:t>
  </x:si>
  <x:si>
    <x:t xml:space="preserve">推建築、製作與事件選項</x:t>
  </x:si>
  <x:si>
    <x:t xml:space="preserve">避免只有單純 +2 資源</x:t>
  </x:si>
  <x:si>
    <x:t xml:space="preserve">定位</x:t>
  </x:si>
  <x:si>
    <x:t xml:space="preserve">這張卡希望玩家解決什麼問題？</x:t>
  </x:si>
  <x:si>
    <x:t xml:space="preserve">戰鬥卡</x:t>
  </x:si>
  <x:si>
    <x:t xml:space="preserve">3-4</x:t>
  </x:si>
  <x:si>
    <x:t xml:space="preserve">處理殭屍威脅</x:t>
  </x:si>
  <x:si>
    <x:t xml:space="preserve">防禦工事可強化核心戰鬥卡</x:t>
  </x:si>
  <x:si>
    <x:t xml:space="preserve">成本</x:t>
  </x:si>
  <x:si>
    <x:t xml:space="preserve">能量、食物、資源、使用次數</x:t>
  </x:si>
  <x:si>
    <x:t xml:space="preserve">探索卡</x:t>
  </x:si>
  <x:si>
    <x:t xml:space="preserve">1-2</x:t>
  </x:si>
  <x:si>
    <x:t xml:space="preserve">取得卡包與承擔風險</x:t>
  </x:si>
  <x:si>
    <x:t xml:space="preserve">基礎探索卡先可製作</x:t>
  </x:si>
  <x:si>
    <x:t xml:space="preserve">效果</x:t>
  </x:si>
  <x:si>
    <x:t xml:space="preserve">請盡量寫成數值，例如：食物 -2，臨時食物 +6</x:t>
  </x:si>
  <x:si>
    <x:t xml:space="preserve">規劃/替換卡</x:t>
  </x:si>
  <x:si>
    <x:t xml:space="preserve">調整正規牌組</x:t>
  </x:si>
  <x:si>
    <x:t xml:space="preserve">中</x:t>
  </x:si>
  <x:si>
    <x:t xml:space="preserve">情報中心相關</x:t>
  </x:si>
  <x:si>
    <x:t xml:space="preserve">來源</x:t>
  </x:si>
  <x:si>
    <x:t xml:space="preserve">起始牌組、建築製作、事件、探索卡包</x:t>
  </x:si>
  <x:si>
    <x:t xml:space="preserve">製作產物卡</x:t>
  </x:si>
  <x:si>
    <x:t xml:space="preserve">2-3</x:t>
  </x:si>
  <x:si>
    <x:t xml:space="preserve">建築產出的功能卡</x:t>
  </x:si>
  <x:si>
    <x:t xml:space="preserve">例如烹飪</x:t>
  </x:si>
  <x:si>
    <x:t xml:space="preserve">玩家選擇</x:t>
  </x:si>
  <x:si>
    <x:t xml:space="preserve">玩家打出這張卡時應該在取捨什麼？</x:t>
  </x:si>
  <x:si>
    <x:t xml:space="preserve">殭屍卡</x:t>
  </x:si>
  <x:si>
    <x:t xml:space="preserve">附加壓力</x:t>
  </x:si>
  <x:si>
    <x:t xml:space="preserve">先測自動觸發與補抽</x:t>
  </x:si>
  <x:si>
    <x:t xml:space="preserve">擔心問題</x:t>
  </x:si>
  <x:si>
    <x:t xml:space="preserve">太強、太弱、太萬用、太難懂、和其他卡重複</x:t>
  </x:si>
  <x:si>
    <x:t xml:space="preserve">事件獎勵卡</x:t>
  </x:si>
  <x:si>
    <x:t xml:space="preserve">2-4</x:t>
  </x:si>
  <x:si>
    <x:t xml:space="preserve">事件或卡包特殊獎勵</x:t>
  </x:si>
  <x:si>
    <x:t xml:space="preserve">低</x:t>
  </x:si>
  <x:si>
    <x:t xml:space="preserve">等核心卡穩定再擴充</x:t>
  </x:si>
  <x:si>
    <x:t xml:space="preserve">任何設計直覺都可以放這裡</x:t>
  </x:si>
  <x:si>
    <x:t xml:space="preserve">卡牌設計表：先填意圖，再填數值，最後再做平衡</x:t>
  </x:si>
  <x:si>
    <x:t xml:space="preserve">黃色欄位建議先填；數值欄位可空白。Rough Score 是粗略抓異常用，不是最終平衡判斷。</x:t>
  </x:si>
  <x:si>
    <x:t xml:space="preserve">Card ID</x:t>
  </x:si>
  <x:si>
    <x:t xml:space="preserve">狀態</x:t>
  </x:si>
  <x:si>
    <x:t xml:space="preserve">卡牌類型</x:t>
  </x:si>
  <x:si>
    <x:t xml:space="preserve">正規欄位</x:t>
  </x:si>
  <x:si>
    <x:t xml:space="preserve">階段</x:t>
  </x:si>
  <x:si>
    <x:t xml:space="preserve">稀有度</x:t>
  </x:si>
  <x:si>
    <x:t xml:space="preserve">取得來源</x:t>
  </x:si>
  <x:si>
    <x:t xml:space="preserve">能量</x:t>
  </x:si>
  <x:si>
    <x:t xml:space="preserve">使用次數</x:t>
  </x:si>
  <x:si>
    <x:t xml:space="preserve">食物成本</x:t>
  </x:si>
  <x:si>
    <x:t xml:space="preserve">資源成本</x:t>
  </x:si>
  <x:si>
    <x:t xml:space="preserve">獲得食物</x:t>
  </x:si>
  <x:si>
    <x:t xml:space="preserve">獲得臨時食物</x:t>
  </x:si>
  <x:si>
    <x:t xml:space="preserve">獲得資源</x:t>
  </x:si>
  <x:si>
    <x:t xml:space="preserve">獲得戰鬥力</x:t>
  </x:si>
  <x:si>
    <x:t xml:space="preserve">士氣變化</x:t>
  </x:si>
  <x:si>
    <x:t xml:space="preserve">替換機會</x:t>
  </x:si>
  <x:si>
    <x:t xml:space="preserve">特殊效果</x:t>
  </x:si>
  <x:si>
    <x:t xml:space="preserve">風險/副作用</x:t>
  </x:si>
  <x:si>
    <x:t xml:space="preserve">設計意圖</x:t>
  </x:si>
  <x:si>
    <x:t xml:space="preserve">測試重點</x:t>
  </x:si>
  <x:si>
    <x:t xml:space="preserve">Rough Score</x:t>
  </x:si>
  <x:si>
    <x:t xml:space="preserve">CARD-FOOD-001</x:t>
  </x:si>
  <x:si>
    <x:t xml:space="preserve">(尋找莓果)預設食物</x:t>
  </x:si>
  <x:si>
    <x:t xml:space="preserve">Draft</x:t>
  </x:si>
  <x:si>
    <x:t xml:space="preserve">Food</x:t>
  </x:si>
  <x:si>
    <x:t xml:space="preserve">Early</x:t>
  </x:si>
  <x:si>
    <x:t xml:space="preserve">Default</x:t>
  </x:si>
  <x:si>
    <x:t xml:space="preserve">Default Refill</x:t>
  </x:si>
  <x:si>
    <x:r>
      <x:rPr>
        <x:sz val="1100"/>
        <x:color rgb="FF1B1B1B"/>
        <x:rFont val="微軟正黑體"/>
        <x:family val="2"/>
      </x:rPr>
      <x:t xml:space="preserve">臨時食物</x:t>
    </x:r>
    <x:r>
      <x:rPr>
        <x:sz val="1100"/>
        <x:color rgb="FF1B1B1B"/>
        <x:rFont val="Arial"/>
        <x:family val="2"/>
      </x:rPr>
      <x:t xml:space="preserve"> +2</x:t>
    </x:r>
  </x:si>
  <x:si>
    <x:t xml:space="preserve">最基礎的食物牌，1能量適合在玩家意圖中穿插打出，功能極弱，無法累計，但可維持每天運轉</x:t>
  </x:si>
  <x:si>
    <x:t xml:space="preserve">是否可以在前期(1~10天內)充當每天食物獲取的卡牌</x:t>
  </x:si>
  <x:si>
    <x:t xml:space="preserve">CARD-RES-001</x:t>
  </x:si>
  <x:si>
    <x:t xml:space="preserve">(物盡其用)預設零件</x:t>
  </x:si>
  <x:si>
    <x:t xml:space="preserve">Resource</x:t>
  </x:si>
  <x:si>
    <x:r>
      <x:rPr>
        <x:sz val="1100"/>
        <x:color rgb="FF1B1B1B"/>
        <x:rFont val="微軟正黑體"/>
        <x:family val="2"/>
      </x:rPr>
      <x:t xml:space="preserve">資源</x:t>
    </x:r>
    <x:r>
      <x:rPr>
        <x:sz val="1100"/>
        <x:color rgb="FF1B1B1B"/>
        <x:rFont val="Arial"/>
        <x:family val="2"/>
      </x:rPr>
      <x:t xml:space="preserve"> +1</x:t>
    </x:r>
  </x:si>
  <x:si>
    <x:t xml:space="preserve">基礎資源牌，支撐建築與製作。目的為前期難打出但咬緊牙關還是可以打出來</x:t>
  </x:si>
  <x:si>
    <x:t xml:space="preserve">資源累積速度是否讓工作台太快完成。作為預設牌不能效率太高，獲取資源之資源應大多數在卡包中發掘</x:t>
  </x:si>
  <x:si>
    <x:t xml:space="preserve">CARD-COM-001</x:t>
  </x:si>
  <x:si>
    <x:r>
      <x:rPr>
        <x:sz val="1100"/>
        <x:color rgb="FF1B1B1B"/>
      </x:rPr>
      <x:t xml:space="preserve">(</x:t>
    </x:r>
    <x:r>
      <x:rPr>
        <x:sz val="1100"/>
        <x:color rgb="FF1B1B1B"/>
        <x:rFont val="微軟正黑體"/>
        <x:family val="2"/>
      </x:rPr>
      <x:t xml:space="preserve">警覺</x:t>
    </x:r>
    <x:r>
      <x:rPr>
        <x:sz val="1100"/>
        <x:color rgb="FF1B1B1B"/>
        <x:rFont val="Arial"/>
        <x:family val="2"/>
      </x:rPr>
      <x:t xml:space="preserve">)</x:t>
    </x:r>
    <x:r>
      <x:rPr>
        <x:sz val="1100"/>
        <x:color rgb="FF1B1B1B"/>
        <x:rFont val="微軟正黑體"/>
        <x:family val="2"/>
      </x:rPr>
      <x:t xml:space="preserve">預設戰鬥</x:t>
    </x:r>
  </x:si>
  <x:si>
    <x:t xml:space="preserve">Combat</x:t>
  </x:si>
  <x:si>
    <x:t xml:space="preserve">戰鬥力 +2</x:t>
  </x:si>
  <x:si>
    <x:t xml:space="preserve">防禦工事給的核心戰鬥卡。</x:t>
  </x:si>
  <x:si>
    <x:r>
      <x:rPr>
        <x:sz val="1100"/>
        <x:color rgb="FF1B1B1B"/>
        <x:rFont val="微軟正黑體"/>
        <x:family val="2"/>
      </x:rPr>
      <x:t xml:space="preserve">殭屍壓力是否需要</x:t>
    </x:r>
    <x:r>
      <x:rPr>
        <x:sz val="1100"/>
        <x:color rgb="FF1B1B1B"/>
        <x:rFont val="Arial"/>
        <x:family val="2"/>
      </x:rPr>
      <x:t xml:space="preserve"> 1-2 </x:t>
    </x:r>
    <x:r>
      <x:rPr>
        <x:sz val="1100"/>
        <x:color rgb="FF1B1B1B"/>
        <x:rFont val="微軟正黑體"/>
        <x:family val="2"/>
      </x:rPr>
      <x:t xml:space="preserve">張戰鬥卡才能處理。</x:t>
    </x:r>
  </x:si>
  <x:si>
    <x:t xml:space="preserve">(無所事事)預設無限制</x:t>
  </x:si>
  <x:si>
    <x:t xml:space="preserve">Other</x:t>
  </x:si>
  <x:si>
    <x:t xml:space="preserve">Unrestricted</x:t>
  </x:si>
  <x:si>
    <x:t xml:space="preserve">無法打出</x:t>
  </x:si>
  <x:si>
    <x:t xml:space="preserve">填充無限制欄位</x:t>
  </x:si>
  <x:si>
    <x:t xml:space="preserve">無</x:t>
  </x:si>
  <x:si>
    <x:t xml:space="preserve">CARD-EXP-001</x:t>
  </x:si>
  <x:si>
    <x:t xml:space="preserve">基礎探索</x:t>
  </x:si>
  <x:si>
    <x:t xml:space="preserve">Explore</x:t>
  </x:si>
  <x:si>
    <x:t xml:space="preserve">Common</x:t>
  </x:si>
  <x:si>
    <x:t xml:space="preserve">Building Craft</x:t>
  </x:si>
  <x:si>
    <x:t xml:space="preserve">開啟初級地區三選一，使用後耗盡。</x:t>
  </x:si>
  <x:si>
    <x:t xml:space="preserve">可能帶入殭屍卡。</x:t>
  </x:si>
  <x:si>
    <x:t xml:space="preserve">取得卡包，但不能免費無限使用。</x:t>
  </x:si>
  <x:si>
    <x:t xml:space="preserve">探索收益是否值得花一張牌與製作成本。</x:t>
  </x:si>
  <x:si>
    <x:t xml:space="preserve">CARD-CRAFT-001</x:t>
  </x:si>
  <x:si>
    <x:t xml:space="preserve">烹飪</x:t>
  </x:si>
  <x:si>
    <x:t xml:space="preserve">Craft</x:t>
  </x:si>
  <x:si>
    <x:t xml:space="preserve">食物 -2，臨時食物 +6，可使用 3 次。</x:t>
  </x:si>
  <x:si>
    <x:t xml:space="preserve">需要先有永久食物。</x:t>
  </x:si>
  <x:si>
    <x:t xml:space="preserve">把永久食物轉成輪末專用緩衝。</x:t>
  </x:si>
  <x:si>
    <x:t xml:space="preserve">兩卡解決一輪食物壓力是否太強。</x:t>
  </x:si>
  <x:si>
    <x:t xml:space="preserve">CARD-PLAN-001</x:t>
  </x:si>
  <x:si>
    <x:t xml:space="preserve">調度</x:t>
  </x:si>
  <x:si>
    <x:t xml:space="preserve">Planning</x:t>
  </x:si>
  <x:si>
    <x:t xml:space="preserve">獲得 1 次卡牌替換機會。</x:t>
  </x:si>
  <x:si>
    <x:t xml:space="preserve">情報中心給玩家整理牌組的工具。</x:t>
  </x:si>
  <x:si>
    <x:t xml:space="preserve">替換機會是否太容易洗掉弱牌。</x:t>
  </x:si>
  <x:si>
    <x:t xml:space="preserve">CARD-ZOM-001</x:t>
  </x:si>
  <x:si>
    <x:t xml:space="preserve">徘徊殭屍</x:t>
  </x:si>
  <x:si>
    <x:t xml:space="preserve">Zombie</x:t>
  </x:si>
  <x:si>
    <x:t xml:space="preserve">Additive</x:t>
  </x:si>
  <x:si>
    <x:t xml:space="preserve">Exploration Pack</x:t>
  </x:si>
  <x:si>
    <x:t xml:space="preserve">抽到時自動生成殭屍威脅並補抽。</x:t>
  </x:si>
  <x:si>
    <x:t xml:space="preserve">輪末未清會扣士氣。</x:t>
  </x:si>
  <x:si>
    <x:t xml:space="preserve">讓探索與事件帶來非正規牌組壓力。</x:t>
  </x:si>
  <x:si>
    <x:t xml:space="preserve">附加卡是否不會形成第 4 回合。</x:t>
  </x:si>
  <x:si>
    <x:t xml:space="preserve">零食</x:t>
  </x:si>
  <x:si>
    <x:r>
      <x:rPr>
        <x:sz val="1100"/>
        <x:color rgb="FF1B1B1B"/>
      </x:rPr>
      <x:t xml:space="preserve">Small Food </x:t>
    </x:r>
    <x:r>
      <x:rPr>
        <x:sz val="1100"/>
        <x:color rgb="FF1B1B1B"/>
        <x:rFont val="Arial"/>
        <x:family val="2"/>
      </x:rPr>
      <x:t xml:space="preserve">Pack</x:t>
    </x:r>
  </x:si>
  <x:si>
    <x:r>
      <x:rPr>
        <x:sz val="1100"/>
        <x:color rgb="FF1B1B1B"/>
        <x:rFont val="微軟正黑體"/>
        <x:family val="2"/>
      </x:rPr>
      <x:t xml:space="preserve">食物</x:t>
    </x:r>
    <x:r>
      <x:rPr>
        <x:sz val="1100"/>
        <x:color rgb="FF1B1B1B"/>
        <x:rFont val="Arial"/>
        <x:family val="2"/>
      </x:rPr>
      <x:t xml:space="preserve"> +2</x:t>
    </x:r>
  </x:si>
  <x:si>
    <x:t xml:space="preserve">標準的獲取食物</x:t>
  </x:si>
  <x:si>
    <x:r>
      <x:rPr>
        <x:sz val="1100"/>
        <x:color rgb="FF1B1B1B"/>
        <x:rFont val="微軟正黑體"/>
        <x:family val="2"/>
      </x:rPr>
      <x:t xml:space="preserve">是否符合</x:t>
    </x:r>
    <x:r>
      <x:rPr>
        <x:sz val="1100"/>
        <x:color rgb="FF1B1B1B"/>
        <x:rFont val="Arial"/>
        <x:family val="2"/>
      </x:rPr>
      <x:t xml:space="preserve">1~20</x:t>
    </x:r>
    <x:r>
      <x:rPr>
        <x:sz val="1100"/>
        <x:color rgb="FF1B1B1B"/>
        <x:rFont val="微軟正黑體"/>
        <x:family val="2"/>
      </x:rPr>
      <x:t xml:space="preserve">天的需求</x:t>
    </x:r>
  </x:si>
  <x:si>
    <x:t xml:space="preserve">罐頭</x:t>
  </x:si>
  <x:si>
    <x:t xml:space="preserve">Small Food Pack</x:t>
  </x:si>
  <x:si>
    <x:t xml:space="preserve">食物+3</x:t>
  </x:si>
  <x:si>
    <x:t xml:space="preserve">比標準-1的食物獲取，但可使用次數高</x:t>
  </x:si>
  <x:si>
    <x:t xml:space="preserve">飲料</x:t>
  </x:si>
  <x:si>
    <x:t xml:space="preserve">獲取士氣+2</x:t>
  </x:si>
  <x:si>
    <x:t xml:space="preserve">比較標準稀有一點的食物</x:t>
  </x:si>
  <x:si>
    <x:t xml:space="preserve">貨架搜刮</x:t>
  </x:si>
  <x:si>
    <x:t xml:space="preserve">Rare</x:t>
  </x:si>
  <x:si>
    <x:t xml:space="preserve">獲取食物+6</x:t>
  </x:si>
  <x:si>
    <x:t xml:space="preserve">較高稀有度的食物</x:t>
  </x:si>
  <x:si>
    <x:t xml:space="preserve">稀有度較高，超商、便利商店限定</x:t>
  </x:si>
  <x:si>
    <x:t xml:space="preserve">可用零件</x:t>
  </x:si>
  <x:si>
    <x:t xml:space="preserve">Small Resource Pack</x:t>
  </x:si>
  <x:si>
    <x:r>
      <x:rPr>
        <x:sz val="1100"/>
        <x:color rgb="FF1B1B1B"/>
        <x:rFont val="微軟正黑體"/>
        <x:family val="2"/>
      </x:rPr>
      <x:t xml:space="preserve">獲得資源</x:t>
    </x:r>
    <x:r>
      <x:rPr>
        <x:sz val="1100"/>
        <x:color rgb="FF1B1B1B"/>
        <x:rFont val="Arial"/>
        <x:family val="2"/>
      </x:rPr>
      <x:t xml:space="preserve">+1</x:t>
    </x:r>
  </x:si>
  <x:si>
    <x:t xml:space="preserve">標準的獲取資源</x:t>
  </x:si>
  <x:si>
    <x:r>
      <x:rPr>
        <x:sz val="1100"/>
        <x:color rgb="FF1B1B1B"/>
        <x:rFont val="微軟正黑體"/>
        <x:family val="2"/>
      </x:rPr>
      <x:t xml:space="preserve">是否符合</x:t>
    </x:r>
    <x:r>
      <x:rPr>
        <x:sz val="1100"/>
        <x:color rgb="FF1B1B1B"/>
        <x:rFont val="Arial"/>
        <x:family val="2"/>
      </x:rPr>
      <x:t xml:space="preserve">1~20</x:t>
    </x:r>
    <x:r>
      <x:rPr>
        <x:sz val="1100"/>
        <x:color rgb="FF1B1B1B"/>
        <x:rFont val="微軟正黑體"/>
        <x:family val="2"/>
      </x:rPr>
      <x:t xml:space="preserve">天的建築升級需求</x:t>
    </x:r>
  </x:si>
  <x:si>
    <x:t xml:space="preserve">拆除家具</x:t>
  </x:si>
  <x:si>
    <x:t xml:space="preserve">單次高收益，一次只會出現一張</x:t>
  </x:si>
  <x:si>
    <x:t xml:space="preserve">上鎖倉庫間</x:t>
  </x:si>
  <x:si>
    <x:t xml:space="preserve">單次極高收益，但難以打出</x:t>
  </x:si>
  <x:si>
    <x:t xml:space="preserve">是否符合1~30天的建築升級需求</x:t>
  </x:si>
  <x:si>
    <x:t xml:space="preserve">稀有度較高，倉庫限定</x:t>
  </x:si>
  <x:si>
    <x:t xml:space="preserve">調度工具</x:t>
  </x:si>
  <x:si>
    <x:t xml:space="preserve">Small Tool Pack</x:t>
  </x:si>
  <x:si>
    <x:t xml:space="preserve">選擇一張抽牌堆中的牌加入手中，填入一張休憩至抽牌堆</x:t>
  </x:si>
  <x:si>
    <x:t xml:space="preserve">用於調度想在此回合打出的牌</x:t>
  </x:si>
  <x:si>
    <x:t xml:space="preserve">是否真正可以幫助到玩家</x:t>
  </x:si>
  <x:si>
    <x:t xml:space="preserve">休憩</x:t>
  </x:si>
  <x:si>
    <x:t xml:space="preserve">Effect Refill</x:t>
  </x:si>
  <x:si>
    <x:t xml:space="preserve">用於使抽取或檢索用途卡牌，使其卡組合規</x:t>
  </x:si>
  <x:si>
    <x:t xml:space="preserve">效率至上</x:t>
  </x:si>
  <x:si>
    <x:t xml:space="preserve">獲得1點能量</x:t>
  </x:si>
  <x:si>
    <x:t xml:space="preserve">用於使高費卡牌可在前期打出</x:t>
  </x:si>
  <x:si>
    <x:t xml:space="preserve">效率安排</x:t>
  </x:si>
  <x:si>
    <x:r>
      <x:rPr>
        <x:sz val="1100"/>
        <x:color rgb="FF1B1B1B"/>
        <x:rFont val="微軟正黑體"/>
        <x:family val="2"/>
      </x:rPr>
      <x:t xml:space="preserve">其他手牌的能量減少</x:t>
    </x:r>
    <x:r>
      <x:rPr>
        <x:sz val="1100"/>
        <x:color rgb="FF1B1B1B"/>
        <x:rFont val="Arial"/>
        <x:family val="2"/>
      </x:rPr>
      <x:t xml:space="preserve">1</x:t>
    </x:r>
  </x:si>
  <x:si>
    <x:t xml:space="preserve">使低費卡牌的效率提升</x:t>
  </x:si>
  <x:si>
    <x:t xml:space="preserve">撬棍</x:t>
  </x:si>
  <x:si>
    <x:t xml:space="preserve">Small Weapon Pack</x:t>
  </x:si>
  <x:si>
    <x:r>
      <x:rPr>
        <x:sz val="1100"/>
        <x:color rgb="FF1B1B1B"/>
        <x:rFont val="微軟正黑體"/>
        <x:family val="2"/>
      </x:rPr>
      <x:t xml:space="preserve">戰鬥力</x:t>
    </x:r>
    <x:r>
      <x:rPr>
        <x:sz val="1100"/>
        <x:color rgb="FF1B1B1B"/>
        <x:rFont val="Arial"/>
        <x:family val="2"/>
      </x:rPr>
      <x:t xml:space="preserve">+2</x:t>
    </x:r>
  </x:si>
  <x:si>
    <x:t xml:space="preserve">效率較高的戰鬥卡</x:t>
  </x:si>
  <x:si>
    <x:r>
      <x:rPr>
        <x:sz val="1100"/>
        <x:color rgb="FF1B1B1B"/>
        <x:rFont val="微軟正黑體"/>
        <x:family val="2"/>
      </x:rPr>
      <x:t xml:space="preserve">是否可提供足夠戰鬥值以應付</x:t>
    </x:r>
    <x:r>
      <x:rPr>
        <x:sz val="1100"/>
        <x:color rgb="FF1B1B1B"/>
        <x:rFont val="Arial"/>
        <x:family val="2"/>
      </x:rPr>
      <x:t xml:space="preserve">1~20</x:t>
    </x:r>
    <x:r>
      <x:rPr>
        <x:sz val="1100"/>
        <x:color rgb="FF1B1B1B"/>
        <x:rFont val="微軟正黑體"/>
        <x:family val="2"/>
      </x:rPr>
      <x:t xml:space="preserve">天的殭屍威脅</x:t>
    </x:r>
  </x:si>
  <x:si>
    <x:t xml:space="preserve">消防斧</x:t>
  </x:si>
  <x:si>
    <x:r>
      <x:rPr>
        <x:sz val="1100"/>
        <x:color rgb="FF1B1B1B"/>
        <x:rFont val="微軟正黑體"/>
        <x:family val="2"/>
      </x:rPr>
      <x:t xml:space="preserve">戰鬥力</x:t>
    </x:r>
    <x:r>
      <x:rPr>
        <x:sz val="1100"/>
        <x:color rgb="FF1B1B1B"/>
        <x:rFont val="Arial"/>
        <x:family val="2"/>
      </x:rPr>
      <x:t xml:space="preserve">+4</x:t>
    </x:r>
  </x:si>
  <x:si>
    <x:t xml:space="preserve">效率極高的戰鬥卡</x:t>
  </x:si>
  <x:si>
    <x:t xml:space="preserve">是否可以提供臨時戰鬥值以應付臨時出現的屍潮</x:t>
  </x:si>
  <x:si>
    <x:t xml:space="preserve">目前 V1 數值基準與可調假設</x:t>
  </x:si>
  <x:si>
    <x:t xml:space="preserve">這張表不是絕對答案，是第一版卡牌設計時的尺。若你之後改規則，先改這裡再看 Card Design。</x:t>
  </x:si>
  <x:si>
    <x:t xml:space="preserve">項目</x:t>
  </x:si>
  <x:si>
    <x:t xml:space="preserve">目前基準</x:t>
  </x:si>
  <x:si>
    <x:t xml:space="preserve">設計意義</x:t>
  </x:si>
  <x:si>
    <x:t xml:space="preserve">卡牌效率參考</x:t>
  </x:si>
  <x:si>
    <x:t xml:space="preserve">建議基準</x:t>
  </x:si>
  <x:si>
    <x:t xml:space="preserve">說明</x:t>
  </x:si>
  <x:si>
    <x:t xml:space="preserve">短局天數</x:t>
  </x:si>
  <x:si>
    <x:t xml:space="preserve">第一版可測完整局長</x:t>
  </x:si>
  <x:si>
    <x:t xml:space="preserve">暫定方向</x:t>
  </x:si>
  <x:si>
    <x:t xml:space="preserve">標準食物卡</x:t>
  </x:si>
  <x:si>
    <x:r>
      <x:t xml:space="preserve">2 </x:t>
    </x:r>
    <x:r>
      <x:rPr>
        <x:sz val="11"/>
        <x:color rgb="FF1B1B1B"/>
        <x:rFont val="微軟正黑體"/>
        <x:family val="2"/>
      </x:rPr>
      <x:t xml:space="preserve">食物</x:t>
    </x:r>
    <x:r>
      <x:rPr>
        <x:sz val="11"/>
        <x:color rgb="FF1B1B1B"/>
        <x:rFont val="Carlito"/>
        <x:family val="2"/>
      </x:rPr>
      <x:t xml:space="preserve"> / 1 </x:t>
    </x:r>
    <x:r>
      <x:rPr>
        <x:sz val="11"/>
        <x:color rgb="FF1B1B1B"/>
        <x:rFont val="微軟正黑體"/>
        <x:family val="2"/>
      </x:rPr>
      <x:t xml:space="preserve">能量</x:t>
    </x:r>
  </x:si>
  <x:si>
    <x:t xml:space="preserve">食物效率的最低尺</x:t>
  </x:si>
  <x:si>
    <x:t xml:space="preserve">正規牌組大小</x:t>
  </x:si>
  <x:si>
    <x:t xml:space="preserve">每輪 3 Turn，每 Turn 抽 5 張</x:t>
  </x:si>
  <x:si>
    <x:t xml:space="preserve">5n 合法性</x:t>
  </x:si>
  <x:si>
    <x:t xml:space="preserve">標準資源卡</x:t>
  </x:si>
  <x:si>
    <x:r>
      <x:t xml:space="preserve">1 </x:t>
    </x:r>
    <x:r>
      <x:rPr>
        <x:sz val="11"/>
        <x:color rgb="FF1B1B1B"/>
        <x:rFont val="微軟正黑體"/>
        <x:family val="2"/>
      </x:rPr>
      <x:t xml:space="preserve">資源</x:t>
    </x:r>
    <x:r>
      <x:rPr>
        <x:sz val="11"/>
        <x:color rgb="FF1B1B1B"/>
        <x:rFont val="Carlito"/>
        <x:family val="2"/>
      </x:rPr>
      <x:t xml:space="preserve"> / 1 </x:t>
    </x:r>
    <x:r>
      <x:rPr>
        <x:sz val="11"/>
        <x:color rgb="FF1B1B1B"/>
        <x:rFont val="微軟正黑體"/>
        <x:family val="2"/>
      </x:rPr>
      <x:t xml:space="preserve">能量</x:t>
    </x:r>
  </x:si>
  <x:si>
    <x:t xml:space="preserve">建築與製作速度的最低尺</x:t>
  </x:si>
  <x:si>
    <x:t xml:space="preserve">每 Turn 抽牌</x:t>
  </x:si>
  <x:si>
    <x:t xml:space="preserve">手牌決策密度</x:t>
  </x:si>
  <x:si>
    <x:t xml:space="preserve">標準戰鬥卡</x:t>
  </x:si>
  <x:si>
    <x:r>
      <x:t xml:space="preserve">2 </x:t>
    </x:r>
    <x:r>
      <x:rPr>
        <x:sz val="11"/>
        <x:color rgb="FF1B1B1B"/>
        <x:rFont val="微軟正黑體"/>
        <x:family val="2"/>
      </x:rPr>
      <x:t xml:space="preserve">戰鬥力</x:t>
    </x:r>
    <x:r>
      <x:rPr>
        <x:sz val="11"/>
        <x:color rgb="FF1B1B1B"/>
        <x:rFont val="Carlito"/>
        <x:family val="2"/>
      </x:rPr>
      <x:t xml:space="preserve"> / 3 </x:t>
    </x:r>
    <x:r>
      <x:rPr>
        <x:sz val="11"/>
        <x:color rgb="FF1B1B1B"/>
        <x:rFont val="微軟正黑體"/>
        <x:family val="2"/>
      </x:rPr>
      <x:t xml:space="preserve">能量</x:t>
    </x:r>
  </x:si>
  <x:si>
    <x:t xml:space="preserve">清殭屍壓力的最低尺</x:t>
  </x:si>
  <x:si>
    <x:t xml:space="preserve">每輪 Turn 數</x:t>
  </x:si>
  <x:si>
    <x:t xml:space="preserve">抽完整正規牌組</x:t>
  </x:si>
  <x:si>
    <x:t xml:space="preserve">烹飪卡</x:t>
  </x:si>
  <x:si>
    <x:t xml:space="preserve">-2 食物 +6 臨時食物 / 1 能量</x:t>
  </x:si>
  <x:si>
    <x:t xml:space="preserve">高效率但只能支付輪末固定消耗</x:t>
  </x:si>
  <x:si>
    <x:t xml:space="preserve">基礎能量</x:t>
  </x:si>
  <x:si>
    <x:t xml:space="preserve">1~3</x:t>
  </x:si>
  <x:si>
    <x:t xml:space="preserve">限制每 Turn 可打牌量</x:t>
  </x:si>
  <x:si>
    <x:t xml:space="preserve">目前想要讓情報中心當成能量的來源，每多1等+1上限</x:t>
  </x:si>
  <x:si>
    <x:t xml:space="preserve">基礎探索卡</x:t>
  </x:si>
  <x:si>
    <x:t xml:space="preserve">1 次使用，製作取得</x:t>
  </x:si>
  <x:si>
    <x:t xml:space="preserve">卡包來源，不應免費循環</x:t>
  </x:si>
  <x:si>
    <x:t xml:space="preserve">基礎輪末食物消耗</x:t>
  </x:si>
  <x:si>
    <x:r>
      <x:rPr>
        <x:sz val="11"/>
        <x:color rgb="FF1B1B1B"/>
        <x:rFont val="微軟正黑體"/>
        <x:family val="2"/>
      </x:rPr>
      <x:t xml:space="preserve">預計</x:t>
    </x:r>
    <x:r>
      <x:rPr>
        <x:sz val="11"/>
        <x:color rgb="FF1B1B1B"/>
        <x:rFont val="Arial"/>
        <x:family val="2"/>
      </x:rPr>
      <x:t xml:space="preserve">1~10</x:t>
    </x:r>
    <x:r>
      <x:rPr>
        <x:sz val="11"/>
        <x:color rgb="FF1B1B1B"/>
        <x:rFont val="微軟正黑體"/>
        <x:family val="2"/>
      </x:rPr>
      <x:t xml:space="preserve">天</x:t>
    </x:r>
    <x:r>
      <x:rPr>
        <x:sz val="11"/>
        <x:color rgb="FF1B1B1B"/>
        <x:rFont val="Arial"/>
        <x:family val="2"/>
      </x:rPr>
      <x:t xml:space="preserve">(3)</x:t>
    </x:r>
    <x:r>
      <x:rPr>
        <x:sz val="11"/>
        <x:color rgb="FF1B1B1B"/>
        <x:rFont val="Carlito"/>
        <x:family val="2"/>
      </x:rPr>
      <x:t xml:space="preserve"> 11~20(5) 21~30(10)</x:t>
    </x:r>
  </x:si>
  <x:si>
    <x:r>
      <x:t xml:space="preserve">FoodPlanSystem </x:t>
    </x:r>
    <x:r>
      <x:rPr>
        <x:sz val="11"/>
        <x:color rgb="FF1B1B1B"/>
        <x:rFont val="微軟正黑體"/>
        <x:family val="2"/>
      </x:rPr>
      <x:t xml:space="preserve">目前</x:t>
    </x:r>
    <x:r>
      <x:rPr>
        <x:sz val="11"/>
        <x:color rgb="FF1B1B1B"/>
        <x:rFont val="Arial"/>
        <x:family val="2"/>
      </x:rPr>
      <x:t xml:space="preserve"> baseRoundConsumption</x:t>
    </x:r>
  </x:si>
  <x:si>
    <x:t xml:space="preserve">暫定，之後修改</x:t>
  </x:si>
  <x:si>
    <x:t xml:space="preserve">1 次替換約等於 2 Rough Score</x:t>
  </x:si>
  <x:si>
    <x:t xml:space="preserve">只是估算，用於抓異常</x:t>
  </x:si>
  <x:si>
    <x:t xml:space="preserve">緊縮食物修正</x:t>
  </x:si>
  <x:si>
    <x:t xml:space="preserve">少吃但降士氣</x:t>
  </x:si>
  <x:si>
    <x:t xml:space="preserve">每 5 士氣約等於 1 Rough Score</x:t>
  </x:si>
  <x:si>
    <x:t xml:space="preserve">暫定換算</x:t>
  </x:si>
  <x:si>
    <x:t xml:space="preserve">豐盛食物修正</x:t>
  </x:si>
  <x:si>
    <x:t xml:space="preserve">多吃但加士氣</x:t>
  </x:si>
  <x:si>
    <x:t xml:space="preserve">附加卡，不形成第 4 回合</x:t>
  </x:si>
  <x:si>
    <x:t xml:space="preserve">風險應壓迫玩家而非破壞牌組規則</x:t>
  </x:si>
  <x:si>
    <x:t xml:space="preserve">緊縮士氣修正</x:t>
  </x:si>
  <x:si>
    <x:t xml:space="preserve">食物換士氣</x:t>
  </x:si>
  <x:si>
    <x:t xml:space="preserve">豐盛士氣修正</x:t>
  </x:si>
  <x:si>
    <x:t xml:space="preserve">食物短缺士氣懲罰</x:t>
  </x:si>
  <x:si>
    <x:t xml:space="preserve">每缺 1 食物，士氣 -5</x:t>
  </x:si>
  <x:si>
    <x:t xml:space="preserve">預設士氣</x:t>
  </x:si>
  <x:si>
    <x:t xml:space="preserve">基地穩定點</x:t>
  </x:si>
  <x:si>
    <x:t xml:space="preserve">高於 70 會回落</x:t>
  </x:si>
  <x:si>
    <x:t xml:space="preserve">最大士氣</x:t>
  </x:si>
  <x:si>
    <x:t xml:space="preserve">士氣上限</x:t>
  </x:si>
  <x:si>
    <x:t xml:space="preserve">高士氣每輪衰減</x:t>
  </x:si>
  <x:si>
    <x:t xml:space="preserve">避免士氣永久堆疊</x:t>
  </x:si>
  <x:si>
    <x:t xml:space="preserve">效果字典：討論卡牌時盡量使用這些動詞與數值</x:t>
  </x:si>
  <x:si>
    <x:t xml:space="preserve">這張表幫你把卡牌效果寫得接近程式與 GDD 語言，之後比較容易實作。</x:t>
  </x:si>
  <x:si>
    <x:t xml:space="preserve">分類</x:t>
  </x:si>
  <x:si>
    <x:t xml:space="preserve">效果名稱</x:t>
  </x:si>
  <x:si>
    <x:t xml:space="preserve">建議寫法</x:t>
  </x:si>
  <x:si>
    <x:t xml:space="preserve">目前系統支援</x:t>
  </x:si>
  <x:si>
    <x:t xml:space="preserve">常見用途</x:t>
  </x:si>
  <x:si>
    <x:t xml:space="preserve">Value</x:t>
  </x:si>
  <x:si>
    <x:t xml:space="preserve">AddFood</x:t>
  </x:si>
  <x:si>
    <x:t xml:space="preserve">食物 +N</x:t>
  </x:si>
  <x:si>
    <x:t xml:space="preserve">Yes</x:t>
  </x:si>
  <x:si>
    <x:t xml:space="preserve">食物卡、事件獎勵</x:t>
  </x:si>
  <x:si>
    <x:t xml:space="preserve">永久食物</x:t>
  </x:si>
  <x:si>
    <x:t xml:space="preserve">SpendFood</x:t>
  </x:si>
  <x:si>
    <x:t xml:space="preserve">食物 -N</x:t>
  </x:si>
  <x:si>
    <x:t xml:space="preserve">卡牌成本、事件成本</x:t>
  </x:si>
  <x:si>
    <x:t xml:space="preserve">不吃臨時食物</x:t>
  </x:si>
  <x:si>
    <x:t xml:space="preserve">AddTemporaryFood</x:t>
  </x:si>
  <x:si>
    <x:t xml:space="preserve">臨時食物 +N</x:t>
  </x:si>
  <x:si>
    <x:t xml:space="preserve">烹飪、短期補給</x:t>
  </x:si>
  <x:si>
    <x:t xml:space="preserve">只抵銷輪末固定消耗</x:t>
  </x:si>
  <x:si>
    <x:t xml:space="preserve">AddResource</x:t>
  </x:si>
  <x:si>
    <x:t xml:space="preserve">資源 +N</x:t>
  </x:si>
  <x:si>
    <x:t xml:space="preserve">資源卡、探索</x:t>
  </x:si>
  <x:si>
    <x:t xml:space="preserve">SpendResource</x:t>
  </x:si>
  <x:si>
    <x:t xml:space="preserve">資源 -N</x:t>
  </x:si>
  <x:si>
    <x:t xml:space="preserve">製作、建築、事件</x:t>
  </x:si>
  <x:si>
    <x:t xml:space="preserve">AddPendingDamage</x:t>
  </x:si>
  <x:si>
    <x:t xml:space="preserve">戰鬥力 +N</x:t>
  </x:si>
  <x:si>
    <x:t xml:space="preserve">輪末處理殭屍</x:t>
  </x:si>
  <x:si>
    <x:t xml:space="preserve">AddMorale</x:t>
  </x:si>
  <x:si>
    <x:t xml:space="preserve">士氣 +N</x:t>
  </x:si>
  <x:si>
    <x:t xml:space="preserve">事件、食物計畫</x:t>
  </x:si>
  <x:si>
    <x:t xml:space="preserve">ReduceMorale</x:t>
  </x:si>
  <x:si>
    <x:t xml:space="preserve">士氣 -N</x:t>
  </x:si>
  <x:si>
    <x:t xml:space="preserve">負面事件、探索風險</x:t>
  </x:si>
  <x:si>
    <x:t xml:space="preserve">Card Flow</x:t>
  </x:si>
  <x:si>
    <x:t xml:space="preserve">DrawCards</x:t>
  </x:si>
  <x:si>
    <x:t xml:space="preserve">抽 N 張</x:t>
  </x:si>
  <x:si>
    <x:t xml:space="preserve">節奏卡、調度卡</x:t>
  </x:si>
  <x:si>
    <x:t xml:space="preserve">小心爆發太強</x:t>
  </x:si>
  <x:si>
    <x:t xml:space="preserve">GrantReplacementChance</x:t>
  </x:si>
  <x:si>
    <x:t xml:space="preserve">替換機會 +N</x:t>
  </x:si>
  <x:si>
    <x:t xml:space="preserve">情報中心、規劃卡</x:t>
  </x:si>
  <x:si>
    <x:t xml:space="preserve">AddCardToDiscardPile</x:t>
  </x:si>
  <x:si>
    <x:t xml:space="preserve">指定卡進棄牌堆</x:t>
  </x:si>
  <x:si>
    <x:t xml:space="preserve">殭屍風險、事件污染</x:t>
  </x:si>
  <x:si>
    <x:t xml:space="preserve">Exploration</x:t>
  </x:si>
  <x:si>
    <x:t xml:space="preserve">BeginExploration</x:t>
  </x:si>
  <x:si>
    <x:t xml:space="preserve">開啟地區三選一</x:t>
  </x:si>
  <x:si>
    <x:t xml:space="preserve">由 ExplorationCardData 觸發</x:t>
  </x:si>
  <x:si>
    <x:t xml:space="preserve">Building</x:t>
  </x:si>
  <x:si>
    <x:t xml:space="preserve">ConstructionProgress</x:t>
  </x:si>
  <x:si>
    <x:t xml:space="preserve">施工進度 +N</x:t>
  </x:si>
  <x:si>
    <x:t xml:space="preserve">建造卡</x:t>
  </x:si>
  <x:si>
    <x:t xml:space="preserve">由 ConstructionCardData 觸發</x:t>
  </x:si>
  <x:si>
    <x:t xml:space="preserve">QueueCraft</x:t>
  </x:si>
  <x:si>
    <x:t xml:space="preserve">排入製作</x:t>
  </x:si>
  <x:si>
    <x:t xml:space="preserve">建築互動</x:t>
  </x:si>
  <x:si>
    <x:t xml:space="preserve">不是卡牌效果</x:t>
  </x:si>
  <x:si>
    <x:t xml:space="preserve">Future</x:t>
  </x:si>
  <x:si>
    <x:t xml:space="preserve">UpgradeCard</x:t>
  </x:si>
  <x:si>
    <x:t xml:space="preserve">指定卡牌強化</x:t>
  </x:si>
  <x:si>
    <x:t xml:space="preserve">Partial</x:t>
  </x:si>
  <x:si>
    <x:t xml:space="preserve">防禦工事</x:t>
  </x:si>
  <x:si>
    <x:t xml:space="preserve">已有建築互動原型</x:t>
  </x:si>
  <x:si>
    <x:t xml:space="preserve">EventWeight</x:t>
  </x:si>
  <x:si>
    <x:t xml:space="preserve">事件權重修正</x:t>
  </x:si>
  <x:si>
    <x:t xml:space="preserve">No</x:t>
  </x:si>
  <x:si>
    <x:t xml:space="preserve">士氣、探索後果</x:t>
  </x:si>
  <x:si>
    <x:t xml:space="preserve">保留後續</x:t>
  </x:si>
  <x:si>
    <x:t xml:space="preserve">卡牌來源與卡包討論表</x:t>
  </x:si>
  <x:si>
    <x:t xml:space="preserve">當你設計新卡時，也要決定玩家何時拿得到。這張表用來避免所有好卡都太早出現。</x:t>
  </x:si>
  <x:si>
    <x:t xml:space="preserve">解鎖時機</x:t>
  </x:si>
  <x:si>
    <x:t xml:space="preserve">主要卡牌類型</x:t>
  </x:si>
  <x:si>
    <x:t xml:space="preserve">推薦強度</x:t>
  </x:si>
  <x:si>
    <x:t xml:space="preserve">風險</x:t>
  </x:si>
  <x:si>
    <x:t xml:space="preserve">設計目的</x:t>
  </x:si>
  <x:si>
    <x:t xml:space="preserve">範例</x:t>
  </x:si>
  <x:si>
    <x:t xml:space="preserve">Starting Deck</x:t>
  </x:si>
  <x:si>
    <x:t xml:space="preserve">第 1 天</x:t>
  </x:si>
  <x:si>
    <x:t xml:space="preserve">Food / Resource / Combat</x:t>
  </x:si>
  <x:si>
    <x:t xml:space="preserve">低到中</x:t>
  </x:si>
  <x:si>
    <x:t xml:space="preserve">提供基本運作</x:t>
  </x:si>
  <x:si>
    <x:t xml:space="preserve">標準食物、拆解零件</x:t>
  </x:si>
  <x:si>
    <x:t xml:space="preserve">補位時</x:t>
  </x:si>
  <x:si>
    <x:t xml:space="preserve">基礎卡</x:t>
  </x:si>
  <x:si>
    <x:t xml:space="preserve">維持正規牌組合法</x:t>
  </x:si>
  <x:si>
    <x:t xml:space="preserve">預設食物、預設資源</x:t>
  </x:si>
  <x:si>
    <x:t xml:space="preserve">不應太強</x:t>
  </x:si>
  <x:si>
    <x:t xml:space="preserve">建築完成後</x:t>
  </x:si>
  <x:si>
    <x:t xml:space="preserve">Explore / Craft / Planning / Combat</x:t>
  </x:si>
  <x:si>
    <x:t xml:space="preserve">成本與時間</x:t>
  </x:si>
  <x:si>
    <x:t xml:space="preserve">長期成長</x:t>
  </x:si>
  <x:si>
    <x:t xml:space="preserve">烹飪、基礎探索、調度</x:t>
  </x:si>
  <x:si>
    <x:t xml:space="preserve">探索後</x:t>
  </x:si>
  <x:si>
    <x:t xml:space="preserve">Food / Resource / Weapon / Tech / Clue</x:t>
  </x:si>
  <x:si>
    <x:t xml:space="preserve">中到高</x:t>
  </x:si>
  <x:si>
    <x:t xml:space="preserve">殭屍或士氣</x:t>
  </x:si>
  <x:si>
    <x:t xml:space="preserve">冒險換未來</x:t>
  </x:si>
  <x:si>
    <x:t xml:space="preserve">軍事基地武器卡</x:t>
  </x:si>
  <x:si>
    <x:t xml:space="preserve">Event</x:t>
  </x:si>
  <x:si>
    <x:t xml:space="preserve">事件選項</x:t>
  </x:si>
  <x:si>
    <x:t xml:space="preserve">任意</x:t>
  </x:si>
  <x:si>
    <x:t xml:space="preserve">低到高</x:t>
  </x:si>
  <x:si>
    <x:t xml:space="preserve">選項代價</x:t>
  </x:si>
  <x:si>
    <x:t xml:space="preserve">製造抉擇</x:t>
  </x:si>
  <x:si>
    <x:t xml:space="preserve">救援、交易、污染</x:t>
  </x:si>
  <x:si>
    <x:t xml:space="preserve">Construction</x:t>
  </x:si>
  <x:si>
    <x:t xml:space="preserve">施工開始後</x:t>
  </x:si>
  <x:si>
    <x:t xml:space="preserve">Build</x:t>
  </x:si>
  <x:si>
    <x:t xml:space="preserve">功能性</x:t>
  </x:si>
  <x:si>
    <x:t xml:space="preserve">占用正規牌組</x:t>
  </x:si>
  <x:si>
    <x:t xml:space="preserve">推進建築進度</x:t>
  </x:si>
  <x:si>
    <x:t xml:space="preserve">工作台建造卡</x:t>
  </x:si>
  <x:si>
    <x:t xml:space="preserve">完成/取消後移除</x:t>
  </x:si>
  <x:si>
    <x:t xml:space="preserve">Debug/Test</x:t>
  </x:si>
  <x:si>
    <x:t xml:space="preserve">測試用</x:t>
  </x:si>
  <x:si>
    <x:t xml:space="preserve">不限</x:t>
  </x:si>
  <x:si>
    <x:t xml:space="preserve">快速驗證</x:t>
  </x:si>
  <x:si>
    <x:t xml:space="preserve">測試卡</x:t>
  </x:si>
  <x:si>
    <x:t xml:space="preserve">不要混進正式卡池</x:t>
  </x:si>
</x:sst>
</file>

<file path=xl/styles.xml><?xml version="1.0" encoding="utf-8"?>
<x:styleSheet xmlns:x="http://schemas.openxmlformats.org/spreadsheetml/2006/main">
  <x:numFmts count="1">
    <x:numFmt numFmtId="176" formatCode="0.0"/>
  </x:numFmts>
  <x:fonts count="18">
    <x:font>
      <x:sz val="11"/>
      <x:name val="Carlito"/>
    </x:font>
    <x:font>
      <x:b/>
      <x:sz val="16"/>
      <x:color rgb="FFFFFFFF"/>
      <x:name val="Carlito"/>
    </x:font>
    <x:font>
      <x:sz val="11"/>
      <x:color rgb="FF1B1B1B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細明體"/>
    </x:font>
    <x:font>
      <x:sz val="11"/>
      <x:color rgb="FF1B1B1B"/>
      <x:name val="微軟正黑體"/>
    </x:font>
    <x:font>
      <x:sz val="11"/>
      <x:color rgb="FF1B1B1B"/>
      <x:name val="Carlito"/>
    </x:font>
    <x:font>
      <x:b/>
      <x:sz val="11"/>
      <x:color rgb="FFFFFFFF"/>
      <x:name val="微軟正黑體"/>
    </x:font>
    <x:font>
      <x:sz val="11"/>
      <x:color rgb="FF1B1B1B"/>
      <x:name val="Arial"/>
    </x:font>
    <x:font>
      <x:sz val="11"/>
      <x:color rgb="FF1B1B1B"/>
      <x:name val="Carlito"/>
    </x:font>
    <x:font>
      <x:b/>
      <x:sz val="14"/>
      <x:color rgb="FFFFFFFF"/>
      <x:name val="Carlito"/>
    </x:font>
    <x:font>
      <x:i/>
      <x:sz val="11"/>
      <x:color rgb="FF3B2F12"/>
      <x:name val="Carlito"/>
    </x:font>
    <x:font>
      <x:sz val="11"/>
      <x:color rgb="FF1F2933"/>
      <x:name val="Carlito"/>
    </x:font>
    <x:font>
      <x:b/>
      <x:sz val="11"/>
      <x:color rgb="FFFFFFFF"/>
      <x:name val="Microsoft JhengHei"/>
    </x:font>
    <x:font>
      <x:sz val="11"/>
      <x:color rgb="FF1F2933"/>
      <x:name val="Microsoft JhengHei"/>
    </x:font>
    <x:font>
      <x:b/>
      <x:sz val="14"/>
      <x:color rgb="FFFFFFFF"/>
      <x:name val="Microsoft JhengHei"/>
    </x:font>
    <x:font>
      <x:i/>
      <x:sz val="11"/>
      <x:color rgb="FF3B2F12"/>
      <x:name val="Microsoft JhengHei"/>
    </x:font>
  </x:fonts>
  <x:fills count="15">
    <x:fill>
      <x:patternFill patternType="none"/>
    </x:fill>
    <x:fill>
      <x:patternFill patternType="gray125"/>
    </x:fill>
    <x:fill>
      <x:patternFill patternType="solid">
        <x:fgColor rgb="FF1B1B1B"/>
      </x:patternFill>
    </x:fill>
    <x:fill>
      <x:patternFill patternType="solid">
        <x:fgColor rgb="FFF2E7D2"/>
      </x:patternFill>
    </x:fill>
    <x:fill>
      <x:patternFill patternType="solid">
        <x:fgColor rgb="FF2F6F4E"/>
      </x:patternFill>
    </x:fill>
    <x:fill>
      <x:patternFill patternType="solid">
        <x:fgColor rgb="FFFFFFFF"/>
      </x:patternFill>
    </x:fill>
    <x:fill>
      <x:patternFill patternType="solid">
        <x:fgColor rgb="FF3A5D7A"/>
      </x:patternFill>
    </x:fill>
    <x:fill>
      <x:patternFill patternType="solid">
        <x:fgColor rgb="FF685B86"/>
      </x:patternFill>
    </x:fill>
    <x:fill>
      <x:patternFill patternType="solid">
        <x:fgColor rgb="FF5E625D"/>
      </x:patternFill>
    </x:fill>
    <x:fill>
      <x:patternFill patternType="solid">
        <x:fgColor rgb="FF9C2F2F"/>
      </x:patternFill>
    </x:fill>
    <x:fill>
      <x:patternFill patternType="solid">
        <x:fgColor rgb="FF183A59"/>
      </x:patternFill>
    </x:fill>
    <x:fill>
      <x:patternFill patternType="solid">
        <x:fgColor rgb="FFFFF7DB"/>
      </x:patternFill>
    </x:fill>
    <x:fill>
      <x:patternFill patternType="solid">
        <x:fgColor rgb="FF31537A"/>
      </x:patternFill>
    </x:fill>
    <x:fill>
      <x:patternFill patternType="solid">
        <x:fgColor rgb="FFF7FAFC"/>
      </x:patternFill>
    </x:fill>
    <x:fill>
      <x:patternFill patternType="solid">
        <x:fgColor rgb="FF3C5F4A"/>
      </x:patternFill>
    </x:fill>
  </x:fills>
  <x:borders count="23">
    <x:border/>
    <x:border>
      <x:left style="thin">
        <x:color rgb="FFD8C8A9"/>
      </x:left>
      <x:top style="thin">
        <x:color rgb="FFD8C8A9"/>
      </x:top>
      <x:bottom style="thin">
        <x:color rgb="FFD8C8A9"/>
      </x:bottom>
    </x:border>
    <x:border>
      <x:top style="thin">
        <x:color rgb="FFD8C8A9"/>
      </x:top>
      <x:bottom style="thin">
        <x:color rgb="FFD8C8A9"/>
      </x:bottom>
    </x:border>
    <x:border>
      <x:right style="thin">
        <x:color rgb="FFD8C8A9"/>
      </x:right>
      <x:top style="thin">
        <x:color rgb="FFD8C8A9"/>
      </x:top>
      <x:bottom style="thin">
        <x:color rgb="FFD8C8A9"/>
      </x:bottom>
    </x:border>
    <x:border>
      <x:right style="thin">
        <x:color rgb="FFE6E0D4"/>
      </x:right>
      <x:bottom style="thin">
        <x:color rgb="FFE6E0D4"/>
      </x:bottom>
    </x:border>
    <x:border>
      <x:left style="thin">
        <x:color rgb="FFE6E0D4"/>
      </x:left>
      <x:bottom style="thin">
        <x:color rgb="FFE6E0D4"/>
      </x:bottom>
    </x:border>
    <x:border>
      <x:right style="thin">
        <x:color rgb="FFE6E0D4"/>
      </x:right>
      <x:top style="thin">
        <x:color rgb="FFE6E0D4"/>
      </x:top>
      <x:bottom style="thin">
        <x:color rgb="FFE6E0D4"/>
      </x:bottom>
    </x:border>
    <x:border>
      <x:left style="thin">
        <x:color rgb="FFE6E0D4"/>
      </x:left>
      <x:top style="thin">
        <x:color rgb="FFE6E0D4"/>
      </x:top>
      <x:bottom style="thin">
        <x:color rgb="FFE6E0D4"/>
      </x:bottom>
    </x:border>
    <x:border>
      <x:right style="thin">
        <x:color rgb="FFE6E0D4"/>
      </x:right>
      <x:top style="thin">
        <x:color rgb="FFE6E0D4"/>
      </x:top>
    </x:border>
    <x:border>
      <x:left style="thin">
        <x:color rgb="FFE6E0D4"/>
      </x:left>
      <x:top style="thin">
        <x:color rgb="FFE6E0D4"/>
      </x:top>
    </x:border>
    <x:border>
      <x:left style="thin">
        <x:color rgb="FFE6E0D4"/>
      </x:left>
      <x:right style="thin">
        <x:color rgb="FFE6E0D4"/>
      </x:right>
      <x:bottom style="thin">
        <x:color rgb="FFE6E0D4"/>
      </x:bottom>
    </x:border>
    <x:border>
      <x:left style="thin">
        <x:color rgb="FFE6E0D4"/>
      </x:left>
      <x:right style="thin">
        <x:color rgb="FFE6E0D4"/>
      </x:right>
      <x:top style="thin">
        <x:color rgb="FFE6E0D4"/>
      </x:top>
      <x:bottom style="thin">
        <x:color rgb="FFE6E0D4"/>
      </x:bottom>
    </x:border>
    <x:border>
      <x:left style="thin">
        <x:color rgb="FFE6E0D4"/>
      </x:left>
      <x:right style="thin">
        <x:color rgb="FFE6E0D4"/>
      </x:right>
      <x:top style="thin">
        <x:color rgb="FFE6E0D4"/>
      </x:top>
    </x:border>
    <x:border>
      <x:left style="thin">
        <x:color rgb="FFE7D38E"/>
      </x:left>
      <x:top style="thin">
        <x:color rgb="FFE7D38E"/>
      </x:top>
    </x:border>
    <x:border>
      <x:top style="thin">
        <x:color rgb="FFE7D38E"/>
      </x:top>
    </x:border>
    <x:border>
      <x:right style="thin">
        <x:color rgb="FFE7D38E"/>
      </x:right>
      <x:top style="thin">
        <x:color rgb="FFE7D38E"/>
      </x:top>
    </x:border>
    <x:border>
      <x:left style="thin">
        <x:color rgb="FFE7D38E"/>
      </x:left>
      <x:bottom style="thin">
        <x:color rgb="FFE7D38E"/>
      </x:bottom>
    </x:border>
    <x:border>
      <x:bottom style="thin">
        <x:color rgb="FFE7D38E"/>
      </x:bottom>
    </x:border>
    <x:border>
      <x:right style="thin">
        <x:color rgb="FFE7D38E"/>
      </x:right>
      <x:bottom style="thin">
        <x:color rgb="FFE7D38E"/>
      </x:bottom>
    </x:border>
    <x:border>
      <x:left style="thin">
        <x:color rgb="FFA7B0BD"/>
      </x:left>
      <x:right style="thin">
        <x:color rgb="FFA7B0BD"/>
      </x:right>
      <x:top style="thin">
        <x:color rgb="FFA7B0BD"/>
      </x:top>
      <x:bottom style="thin">
        <x:color rgb="FFA7B0BD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E7D38E"/>
      </x:left>
    </x:border>
    <x:border>
      <x:right style="thin">
        <x:color rgb="FFE7D38E"/>
      </x:right>
    </x:border>
  </x:borders>
  <x:cellStyleXfs count="2">
    <x:xf numFmtId="0" fontId="0" fillId="0" borderId="0"/>
    <x:xf numFmtId="0" fontId="4" fillId="0" borderId="0"/>
  </x:cellStyleXfs>
  <x:cellXfs count="94">
    <x:xf numFmtId="0" fontId="0" fillId="0" borderId="0" xfId="0"/>
    <x:xf numFmtId="0" fontId="3" fillId="4" borderId="0" xfId="1" applyFont="1" applyFill="1" applyAlignment="1">
      <x:alignment horizontal="center" vertical="center" wrapText="1"/>
    </x:xf>
    <x:xf numFmtId="0" fontId="2" fillId="5" borderId="4" xfId="1" applyFont="1" applyFill="1" applyBorder="1" applyAlignment="1">
      <x:alignment vertical="top" wrapText="1"/>
    </x:xf>
    <x:xf numFmtId="0" fontId="2" fillId="5" borderId="5" xfId="1" applyFont="1" applyFill="1" applyBorder="1" applyAlignment="1">
      <x:alignment vertical="top" wrapText="1"/>
    </x:xf>
    <x:xf numFmtId="0" fontId="2" fillId="5" borderId="6" xfId="1" applyFont="1" applyFill="1" applyBorder="1" applyAlignment="1">
      <x:alignment vertical="top" wrapText="1"/>
    </x:xf>
    <x:xf numFmtId="0" fontId="2" fillId="5" borderId="7" xfId="1" applyFont="1" applyFill="1" applyBorder="1" applyAlignment="1">
      <x:alignment vertical="top" wrapText="1"/>
    </x:xf>
    <x:xf numFmtId="0" fontId="2" fillId="5" borderId="8" xfId="1" applyFont="1" applyFill="1" applyBorder="1" applyAlignment="1">
      <x:alignment vertical="top" wrapText="1"/>
    </x:xf>
    <x:xf numFmtId="0" fontId="2" fillId="5" borderId="9" xfId="1" applyFont="1" applyFill="1" applyBorder="1" applyAlignment="1">
      <x:alignment vertical="top" wrapText="1"/>
    </x:xf>
    <x:xf numFmtId="0" fontId="2" fillId="5" borderId="10" xfId="1" applyFont="1" applyFill="1" applyBorder="1" applyAlignment="1">
      <x:alignment vertical="top" wrapText="1"/>
    </x:xf>
    <x:xf numFmtId="0" fontId="2" fillId="5" borderId="11" xfId="1" applyFont="1" applyFill="1" applyBorder="1" applyAlignment="1">
      <x:alignment vertical="top" wrapText="1"/>
    </x:xf>
    <x:xf numFmtId="0" fontId="2" fillId="5" borderId="12" xfId="1" applyFont="1" applyFill="1" applyBorder="1" applyAlignment="1">
      <x:alignment vertical="top" wrapText="1"/>
    </x:xf>
    <x:xf numFmtId="0" fontId="3" fillId="6" borderId="0" xfId="1" applyFont="1" applyFill="1" applyAlignment="1">
      <x:alignment horizontal="center" vertical="center" wrapText="1"/>
    </x:xf>
    <x:xf numFmtId="3" fontId="2" fillId="5" borderId="10" xfId="1" applyNumberFormat="1" applyFont="1" applyFill="1" applyBorder="1" applyAlignment="1">
      <x:alignment vertical="top" wrapText="1"/>
    </x:xf>
    <x:xf numFmtId="3" fontId="2" fillId="5" borderId="11" xfId="1" applyNumberFormat="1" applyFont="1" applyFill="1" applyBorder="1" applyAlignment="1">
      <x:alignment vertical="top" wrapText="1"/>
    </x:xf>
    <x:xf numFmtId="3" fontId="2" fillId="5" borderId="12" xfId="1" applyNumberFormat="1" applyFont="1" applyFill="1" applyBorder="1" applyAlignment="1">
      <x:alignment vertical="top" wrapText="1"/>
    </x:xf>
    <x:xf numFmtId="176" fontId="2" fillId="5" borderId="10" xfId="1" applyNumberFormat="1" applyFont="1" applyFill="1" applyBorder="1" applyAlignment="1">
      <x:alignment vertical="top" wrapText="1"/>
    </x:xf>
    <x:xf numFmtId="176" fontId="2" fillId="5" borderId="11" xfId="1" applyNumberFormat="1" applyFont="1" applyFill="1" applyBorder="1" applyAlignment="1">
      <x:alignment vertical="top" wrapText="1"/>
    </x:xf>
    <x:xf numFmtId="176" fontId="2" fillId="5" borderId="12" xfId="1" applyNumberFormat="1" applyFont="1" applyFill="1" applyBorder="1" applyAlignment="1">
      <x:alignment vertical="top" wrapText="1"/>
    </x:xf>
    <x:xf numFmtId="0" fontId="3" fillId="7" borderId="0" xfId="1" applyFont="1" applyFill="1" applyAlignment="1">
      <x:alignment horizontal="center" vertical="center" wrapText="1"/>
    </x:xf>
    <x:xf numFmtId="0" fontId="3" fillId="8" borderId="0" xfId="1" applyFont="1" applyFill="1" applyAlignment="1">
      <x:alignment horizontal="center" vertical="center" wrapText="1"/>
    </x:xf>
    <x:xf numFmtId="0" fontId="3" fillId="9" borderId="0" xfId="1" applyFont="1" applyFill="1" applyAlignment="1">
      <x:alignment horizontal="center" vertical="center" wrapText="1"/>
    </x:xf>
    <x:xf numFmtId="0" fontId="7" fillId="5" borderId="10" xfId="1" applyFont="1" applyFill="1" applyBorder="1" applyAlignment="1">
      <x:alignment vertical="top" wrapText="1"/>
    </x:xf>
    <x:xf numFmtId="0" fontId="6" fillId="5" borderId="10" xfId="1" applyFont="1" applyFill="1" applyBorder="1" applyAlignment="1">
      <x:alignment vertical="top" wrapText="1"/>
    </x:xf>
    <x:xf numFmtId="0" fontId="8" fillId="6" borderId="0" xfId="1" applyFont="1" applyFill="1" applyAlignment="1">
      <x:alignment horizontal="center" vertical="center" wrapText="1"/>
    </x:xf>
    <x:xf numFmtId="0" fontId="6" fillId="5" borderId="11" xfId="1" applyFont="1" applyFill="1" applyBorder="1" applyAlignment="1">
      <x:alignment vertical="top" wrapText="1"/>
    </x:xf>
    <x:xf numFmtId="0" fontId="7" fillId="5" borderId="11" xfId="1" applyFont="1" applyFill="1" applyBorder="1" applyAlignment="1">
      <x:alignment vertical="top" wrapText="1"/>
    </x:xf>
    <x:xf numFmtId="3" fontId="7" fillId="5" borderId="11" xfId="1" applyNumberFormat="1" applyFont="1" applyFill="1" applyBorder="1" applyAlignment="1">
      <x:alignment vertical="top" wrapText="1"/>
    </x:xf>
    <x:xf numFmtId="0" fontId="2" fillId="5" borderId="11" xfId="1" applyFont="1" applyFill="1" applyBorder="1" applyAlignment="1">
      <x:alignment vertical="top" wrapText="1"/>
    </x:xf>
    <x:xf numFmtId="0" fontId="1" fillId="2" borderId="0" xfId="1" applyFont="1" applyFill="1" applyAlignment="1">
      <x:alignment horizontal="left" vertical="center"/>
    </x:xf>
    <x:xf numFmtId="0" fontId="2" fillId="3" borderId="1" xfId="1" applyFont="1" applyFill="1" applyBorder="1" applyAlignment="1">
      <x:alignment vertical="top" wrapText="1"/>
    </x:xf>
    <x:xf numFmtId="0" fontId="2" fillId="3" borderId="2" xfId="1" applyFont="1" applyFill="1" applyBorder="1" applyAlignment="1">
      <x:alignment vertical="top" wrapText="1"/>
    </x:xf>
    <x:xf numFmtId="0" fontId="2" fillId="3" borderId="3" xfId="1" applyFont="1" applyFill="1" applyBorder="1" applyAlignment="1">
      <x:alignment vertical="top" wrapText="1"/>
    </x:xf>
    <x:xf numFmtId="0" fontId="6" fillId="5" borderId="7" xfId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left"/>
    </x:xf>
    <x:xf numFmtId="0" fontId="11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13" xfId="0" applyNumberFormat="1" applyFont="1" applyFill="1" applyBorder="1"/>
    <x:xf numFmtId="0" fontId="12" fillId="11" borderId="14" xfId="0" applyNumberFormat="1" applyFont="1" applyFill="1" applyBorder="1"/>
    <x:xf numFmtId="0" fontId="12" fillId="11" borderId="15" xfId="0" applyNumberFormat="1" applyFont="1" applyFill="1" applyBorder="1"/>
    <x:xf numFmtId="0" fontId="12" fillId="11" borderId="16" xfId="0" applyNumberFormat="1" applyFont="1" applyFill="1" applyBorder="1"/>
    <x:xf numFmtId="0" fontId="12" fillId="11" borderId="17" xfId="0" applyNumberFormat="1" applyFont="1" applyFill="1" applyBorder="1"/>
    <x:xf numFmtId="0" fontId="12" fillId="11" borderId="18" xfId="0" applyNumberFormat="1" applyFont="1" applyFill="1" applyBorder="1"/>
    <x:xf numFmtId="0" fontId="12" fillId="11" borderId="13" xfId="0" applyNumberFormat="1" applyFont="1" applyFill="1" applyBorder="1" applyAlignment="1">
      <x:alignment wrapText="1"/>
    </x:xf>
    <x:xf numFmtId="0" fontId="12" fillId="11" borderId="14" xfId="0" applyNumberFormat="1" applyFont="1" applyFill="1" applyBorder="1" applyAlignment="1">
      <x:alignment wrapText="1"/>
    </x:xf>
    <x:xf numFmtId="0" fontId="12" fillId="11" borderId="15" xfId="0" applyNumberFormat="1" applyFont="1" applyFill="1" applyBorder="1" applyAlignment="1">
      <x:alignment wrapText="1"/>
    </x:xf>
    <x:xf numFmtId="0" fontId="12" fillId="11" borderId="16" xfId="0" applyNumberFormat="1" applyFont="1" applyFill="1" applyBorder="1" applyAlignment="1">
      <x:alignment wrapText="1"/>
    </x:xf>
    <x:xf numFmtId="0" fontId="12" fillId="11" borderId="17" xfId="0" applyNumberFormat="1" applyFont="1" applyFill="1" applyBorder="1" applyAlignment="1">
      <x:alignment wrapText="1"/>
    </x:xf>
    <x:xf numFmtId="0" fontId="12" fillId="11" borderId="18" xfId="0" applyNumberFormat="1" applyFont="1" applyFill="1" applyBorder="1" applyAlignment="1">
      <x:alignment wrapText="1"/>
    </x:xf>
    <x:xf numFmtId="0" fontId="12" fillId="11" borderId="13" xfId="0" applyNumberFormat="1" applyFont="1" applyFill="1" applyBorder="1" applyAlignment="1">
      <x:alignment vertical="center" wrapText="1"/>
    </x:xf>
    <x:xf numFmtId="0" fontId="12" fillId="11" borderId="14" xfId="0" applyNumberFormat="1" applyFont="1" applyFill="1" applyBorder="1" applyAlignment="1">
      <x:alignment vertical="center" wrapText="1"/>
    </x:xf>
    <x:xf numFmtId="0" fontId="12" fillId="11" borderId="15" xfId="0" applyNumberFormat="1" applyFont="1" applyFill="1" applyBorder="1" applyAlignment="1">
      <x:alignment vertical="center" wrapText="1"/>
    </x:xf>
    <x:xf numFmtId="0" fontId="12" fillId="11" borderId="16" xfId="0" applyNumberFormat="1" applyFont="1" applyFill="1" applyBorder="1" applyAlignment="1">
      <x:alignment vertical="center" wrapText="1"/>
    </x:xf>
    <x:xf numFmtId="0" fontId="12" fillId="11" borderId="17" xfId="0" applyNumberFormat="1" applyFont="1" applyFill="1" applyBorder="1" applyAlignment="1">
      <x:alignment vertical="center" wrapText="1"/>
    </x:xf>
    <x:xf numFmtId="0" fontId="12" fillId="11" borderId="18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9" xfId="0" applyNumberFormat="1" applyFont="1" applyFill="1" applyBorder="1"/>
    <x:xf numFmtId="0" fontId="3" fillId="12" borderId="19" xfId="0" applyNumberFormat="1" applyFont="1" applyFill="1" applyBorder="1" applyAlignment="1">
      <x:alignment wrapText="1"/>
    </x:xf>
    <x:xf numFmtId="0" fontId="3" fillId="12" borderId="19" xfId="0" applyNumberFormat="1" applyFont="1" applyFill="1" applyBorder="1" applyAlignment="1">
      <x:alignment horizontal="center" wrapText="1"/>
    </x:xf>
    <x:xf numFmtId="0" fontId="3" fillId="12" borderId="19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20" xfId="0" applyNumberFormat="1" applyFont="1" applyFill="1" applyBorder="1"/>
    <x:xf numFmtId="0" fontId="13" fillId="13" borderId="20" xfId="0" applyNumberFormat="1" applyFont="1" applyFill="1" applyBorder="1" applyAlignment="1">
      <x:alignment wrapText="1"/>
    </x:xf>
    <x:xf numFmtId="0" fontId="13" fillId="13" borderId="20" xfId="0" applyNumberFormat="1" applyFont="1" applyFill="1" applyBorder="1" applyAlignment="1">
      <x:alignment vertical="top" wrapText="1"/>
    </x:xf>
    <x:xf numFmtId="0" fontId="13" fillId="14" borderId="20" xfId="0" applyNumberFormat="1" applyFont="1" applyFill="1" applyBorder="1" applyAlignment="1">
      <x:alignment vertical="top" wrapText="1"/>
    </x:xf>
    <x:xf numFmtId="0" fontId="3" fillId="14" borderId="20" xfId="0" applyNumberFormat="1" applyFont="1" applyFill="1" applyBorder="1" applyAlignment="1">
      <x:alignment vertical="top" wrapText="1"/>
    </x:xf>
    <x:xf numFmtId="0" fontId="3" fillId="14" borderId="19" xfId="0" applyNumberFormat="1" applyFont="1" applyFill="1" applyBorder="1" applyAlignment="1">
      <x:alignment vertical="top" wrapText="1"/>
    </x:xf>
    <x:xf numFmtId="0" fontId="3" fillId="14" borderId="19" xfId="0" applyNumberFormat="1" applyFont="1" applyFill="1" applyBorder="1" applyAlignment="1">
      <x:alignment horizontal="center" vertical="top" wrapText="1"/>
    </x:xf>
    <x:xf numFmtId="0" fontId="3" fillId="14" borderId="19" xfId="0" applyNumberFormat="1" applyFont="1" applyFill="1" applyBorder="1" applyAlignment="1">
      <x:alignment horizontal="center" vertical="center" wrapText="1"/>
    </x:xf>
    <x:xf numFmtId="0" fontId="12" fillId="11" borderId="21" xfId="0" applyNumberFormat="1" applyFont="1" applyFill="1" applyBorder="1"/>
    <x:xf numFmtId="0" fontId="12" fillId="11" borderId="22" xfId="0" applyNumberFormat="1" applyFont="1" applyFill="1" applyBorder="1"/>
    <x:xf numFmtId="0" fontId="12" fillId="11" borderId="21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12" fillId="11" borderId="22" xfId="0" applyNumberFormat="1" applyFont="1" applyFill="1" applyBorder="1" applyAlignment="1">
      <x:alignment wrapText="1"/>
    </x:xf>
    <x:xf numFmtId="0" fontId="12" fillId="11" borderId="21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2" fillId="11" borderId="22" xfId="0" applyNumberFormat="1" applyFont="1" applyFill="1" applyBorder="1" applyAlignment="1">
      <x:alignment vertical="center" wrapText="1"/>
    </x:xf>
    <x:xf numFmtId="0" fontId="14" fillId="12" borderId="19" xfId="0" applyNumberFormat="1" applyFont="1" applyFill="1" applyBorder="1" applyAlignment="1">
      <x:alignment horizontal="center" vertical="center" wrapText="1"/>
    </x:xf>
    <x:xf numFmtId="0" fontId="15" fillId="13" borderId="20" xfId="0" applyNumberFormat="1" applyFont="1" applyFill="1" applyBorder="1" applyAlignment="1">
      <x:alignment vertical="top" wrapText="1"/>
    </x:xf>
    <x:xf numFmtId="0" fontId="14" fillId="14" borderId="19" xfId="0" applyNumberFormat="1" applyFont="1" applyFill="1" applyBorder="1" applyAlignment="1">
      <x:alignment horizontal="center" vertical="center" wrapText="1"/>
    </x:xf>
    <x:xf numFmtId="0" fontId="16" fillId="10" borderId="0" xfId="0" applyNumberFormat="1" applyFont="1" applyFill="1" applyBorder="1" applyAlignment="1">
      <x:alignment horizontal="left" vertical="center"/>
    </x:xf>
    <x:xf numFmtId="0" fontId="17" fillId="11" borderId="13" xfId="0" applyNumberFormat="1" applyFont="1" applyFill="1" applyBorder="1" applyAlignment="1">
      <x:alignment vertical="center" wrapText="1"/>
    </x:xf>
    <x:xf numFmtId="0" fontId="17" fillId="11" borderId="14" xfId="0" applyNumberFormat="1" applyFont="1" applyFill="1" applyBorder="1" applyAlignment="1">
      <x:alignment vertical="center" wrapText="1"/>
    </x:xf>
    <x:xf numFmtId="0" fontId="17" fillId="11" borderId="15" xfId="0" applyNumberFormat="1" applyFont="1" applyFill="1" applyBorder="1" applyAlignment="1">
      <x:alignment vertical="center" wrapText="1"/>
    </x:xf>
    <x:xf numFmtId="0" fontId="17" fillId="11" borderId="16" xfId="0" applyNumberFormat="1" applyFont="1" applyFill="1" applyBorder="1" applyAlignment="1">
      <x:alignment vertical="center" wrapText="1"/>
    </x:xf>
    <x:xf numFmtId="0" fontId="17" fillId="11" borderId="17" xfId="0" applyNumberFormat="1" applyFont="1" applyFill="1" applyBorder="1" applyAlignment="1">
      <x:alignment vertical="center" wrapText="1"/>
    </x:xf>
    <x:xf numFmtId="0" fontId="17" fillId="11" borderId="18" xfId="0" applyNumberFormat="1" applyFont="1" applyFill="1" applyBorder="1" applyAlignment="1">
      <x:alignment vertical="center" wrapText="1"/>
    </x:xf>
    <x:xf numFmtId="0" fontId="17" fillId="11" borderId="21" xfId="0" applyNumberFormat="1" applyFont="1" applyFill="1" applyBorder="1" applyAlignment="1">
      <x:alignment vertical="center" wrapText="1"/>
    </x:xf>
    <x:xf numFmtId="0" fontId="17" fillId="11" borderId="0" xfId="0" applyNumberFormat="1" applyFont="1" applyFill="1" applyBorder="1" applyAlignment="1">
      <x:alignment vertical="center" wrapText="1"/>
    </x:xf>
    <x:xf numFmtId="0" fontId="17" fillId="11" borderId="22" xfId="0" applyNumberFormat="1" applyFont="1" applyFill="1" applyBorder="1" applyAlignment="1">
      <x:alignment vertical="center" wrapText="1"/>
    </x:xf>
  </x:cellXfs>
  <x:cellStyles count="2">
    <x:cellStyle name="Normal" xfId="1"/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a8b04d9964b58" /><Relationship Type="http://schemas.openxmlformats.org/officeDocument/2006/relationships/theme" Target="/xl/theme/theme1.xml" Id="R92415eb5a673453a" /><Relationship Type="http://schemas.openxmlformats.org/officeDocument/2006/relationships/sharedStrings" Target="/xl/sharedStrings.xml" Id="R91830c782de04aa7" /><Relationship Type="http://schemas.openxmlformats.org/officeDocument/2006/relationships/worksheet" Target="/xl/worksheets/sheet1.xml" Id="Rd0c0cb96be564406" /><Relationship Type="http://schemas.openxmlformats.org/officeDocument/2006/relationships/worksheet" Target="/xl/worksheets/sheet2.xml" Id="Rfcb5c36611f5479c" /><Relationship Type="http://schemas.openxmlformats.org/officeDocument/2006/relationships/worksheet" Target="/xl/worksheets/sheet3.xml" Id="R572df3ba81974d50" /><Relationship Type="http://schemas.openxmlformats.org/officeDocument/2006/relationships/worksheet" Target="/xl/worksheets/sheet4.xml" Id="Rf9a1d4d6a2f54404" /><Relationship Type="http://schemas.openxmlformats.org/officeDocument/2006/relationships/worksheet" Target="/xl/worksheets/sheet5.xml" Id="Rdb243f1873634855" /><Relationship Type="http://schemas.openxmlformats.org/officeDocument/2006/relationships/worksheet" Target="/xl/worksheets/sheet6.xml" Id="R63c46f0c3faf4be7" /></Relationships>
</file>

<file path=xl/tables/table1.xml><?xml version="1.0" encoding="utf-8"?>
<x:table xmlns:x="http://schemas.openxmlformats.org/spreadsheetml/2006/main" id="1" name="CardDesignTable" displayName="CardDesignTable" ref="A5:X107" totalsRowShown="0">
  <x:autoFilter ref="A5:X107"/>
  <x:tableColumns count="24">
    <x:tableColumn id="1" name="Card ID"/>
    <x:tableColumn id="2" name="卡名"/>
    <x:tableColumn id="3" name="狀態"/>
    <x:tableColumn id="4" name="卡牌類型"/>
    <x:tableColumn id="5" name="正規欄位"/>
    <x:tableColumn id="6" name="階段"/>
    <x:tableColumn id="7" name="稀有度"/>
    <x:tableColumn id="8" name="取得來源"/>
    <x:tableColumn id="9" name="能量"/>
    <x:tableColumn id="10" name="使用次數"/>
    <x:tableColumn id="11" name="食物成本"/>
    <x:tableColumn id="12" name="資源成本"/>
    <x:tableColumn id="13" name="獲得食物"/>
    <x:tableColumn id="14" name="獲得臨時食物"/>
    <x:tableColumn id="15" name="獲得資源"/>
    <x:tableColumn id="16" name="獲得戰鬥力"/>
    <x:tableColumn id="17" name="士氣變化"/>
    <x:tableColumn id="18" name="替換機會"/>
    <x:tableColumn id="19" name="特殊效果"/>
    <x:tableColumn id="20" name="風險/副作用"/>
    <x:tableColumn id="21" name="設計意圖"/>
    <x:tableColumn id="22" name="測試重點"/>
    <x:tableColumn id="23" name="Rough Score"/>
    <x:tableColumn id="24" name="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dPackDefinitions" displayName="CardPackDefinitions" ref="A5:N20" headerRowCount="1" totalsRowCount="0" totalsRowShown="0">
  <x:tableColumns count="14">
    <x:tableColumn id="1" name="Pack ID"/>
    <x:tableColumn id="2" name="卡包名稱"/>
    <x:tableColumn id="3" name="狀態"/>
    <x:tableColumn id="4" name="卡包類型"/>
    <x:tableColumn id="5" name="階段"/>
    <x:tableColumn id="6" name="稀有度"/>
    <x:tableColumn id="7" name="來源/地區"/>
    <x:tableColumn id="8" name="每包張數"/>
    <x:tableColumn id="9" name="是否可重複"/>
    <x:tableColumn id="10" name="正常卡去向"/>
    <x:tableColumn id="11" name="殭屍卡去向"/>
    <x:tableColumn id="12" name="風險設計"/>
    <x:tableColumn id="13" name="設計意圖"/>
    <x:tableColumn id="14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rdPackEntries" displayName="CardPackEntries" ref="A12:N80" headerRowCount="1" totalsRowCount="0" totalsRowShown="0">
  <x:tableColumns count="14">
    <x:tableColumn id="1" name="Pack ID"/>
    <x:tableColumn id="2" name="Entry ID"/>
    <x:tableColumn id="3" name="卡名"/>
    <x:tableColumn id="4" name="Card ID"/>
    <x:tableColumn id="5" name="卡牌類型"/>
    <x:tableColumn id="6" name="稀有度"/>
    <x:tableColumn id="7" name="權重"/>
    <x:tableColumn id="8" name="最小張數"/>
    <x:tableColumn id="9" name="最大張數"/>
    <x:tableColumn id="10" name="是否地區限定"/>
    <x:tableColumn id="11" name="限定地區"/>
    <x:tableColumn id="12" name="抽到後去向"/>
    <x:tableColumn id="13" name="設計備註"/>
    <x:tableColumn id="14" name="測試重點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72ce86151f4c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d4ba1d77a0534058" /><Relationship Type="http://schemas.openxmlformats.org/officeDocument/2006/relationships/table" Target="/xl/tables/table3.xml" Id="Rd547e126331146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" customWidth="1"/>
    <x:col min="2" max="2" width="42" customWidth="1"/>
    <x:col min="3" max="3" width="4" customWidth="1"/>
    <x:col min="4" max="4" width="18" customWidth="1"/>
    <x:col min="5" max="5" width="12" customWidth="1"/>
    <x:col min="6" max="6" width="32" customWidth="1"/>
    <x:col min="7" max="7" width="12" customWidth="1"/>
    <x:col min="8" max="8" width="36" customWidth="1"/>
  </x:cols>
  <x:sheetData>
    <x:row r="1" ht="30" customHeight="1">
      <x:c r="A1" s="28" t="s">
        <x:v>0</x:v>
      </x:c>
      <x:c r="B1" s="28" t="s">
        <x:v>0</x:v>
      </x:c>
      <x:c r="C1" s="28" t="s">
        <x:v>0</x:v>
      </x:c>
      <x:c r="D1" s="28" t="s">
        <x:v>0</x:v>
      </x:c>
      <x:c r="E1" s="28" t="s">
        <x:v>0</x:v>
      </x:c>
      <x:c r="F1" s="28" t="s">
        <x:v>0</x:v>
      </x:c>
      <x:c r="G1" s="28" t="s">
        <x:v>0</x:v>
      </x:c>
      <x:c r="H1" s="28" t="s">
        <x:v>0</x:v>
      </x:c>
    </x:row>
    <x:row r="3" ht="42" customHeight="1">
      <x:c r="A3" s="29" t="s">
        <x:v>1</x:v>
      </x:c>
      <x:c r="B3" s="30" t="s">
        <x:v>1</x:v>
      </x:c>
      <x:c r="C3" s="30" t="s">
        <x:v>1</x:v>
      </x:c>
      <x:c r="D3" s="30" t="s">
        <x:v>1</x:v>
      </x:c>
      <x:c r="E3" s="30" t="s">
        <x:v>1</x:v>
      </x:c>
      <x:c r="F3" s="30" t="s">
        <x:v>1</x:v>
      </x:c>
      <x:c r="G3" s="30" t="s">
        <x:v>1</x:v>
      </x:c>
      <x:c r="H3" s="31" t="s">
        <x:v>1</x:v>
      </x:c>
    </x:row>
    <x:row r="5" ht="15">
      <x:c r="A5" s="1" t="s">
        <x:v>2</x:v>
      </x:c>
      <x:c r="B5" s="1"/>
      <x:c r="D5" s="1" t="s">
        <x:v>3</x:v>
      </x:c>
      <x:c r="E5" s="1" t="s">
        <x:v>4</x:v>
      </x:c>
      <x:c r="F5" s="1" t="s">
        <x:v>5</x:v>
      </x:c>
      <x:c r="G5" s="1" t="s">
        <x:v>6</x:v>
      </x:c>
      <x:c r="H5" s="1" t="s">
        <x:v>7</x:v>
      </x:c>
    </x:row>
    <x:row r="6">
      <x:c r="A6" s="2" t="s">
        <x:v>8</x:v>
      </x:c>
      <x:c r="B6" s="3" t="s">
        <x:v>9</x:v>
      </x:c>
      <x:c r="D6" s="2" t="s">
        <x:v>10</x:v>
      </x:c>
      <x:c r="E6" s="8" t="s">
        <x:v>11</x:v>
      </x:c>
      <x:c r="F6" s="8" t="s">
        <x:v>12</x:v>
      </x:c>
      <x:c r="G6" s="8" t="s">
        <x:v>13</x:v>
      </x:c>
      <x:c r="H6" s="3" t="s">
        <x:v>14</x:v>
      </x:c>
    </x:row>
    <x:row r="7" ht="28.5">
      <x:c r="A7" s="4" t="s">
        <x:v>15</x:v>
      </x:c>
      <x:c r="B7" s="5" t="s">
        <x:v>16</x:v>
      </x:c>
      <x:c r="D7" s="4" t="s">
        <x:v>17</x:v>
      </x:c>
      <x:c r="E7" s="9" t="s">
        <x:v>11</x:v>
      </x:c>
      <x:c r="F7" s="9" t="s">
        <x:v>18</x:v>
      </x:c>
      <x:c r="G7" s="9" t="s">
        <x:v>13</x:v>
      </x:c>
      <x:c r="H7" s="5" t="s">
        <x:v>19</x:v>
      </x:c>
    </x:row>
    <x:row r="8">
      <x:c r="A8" s="4" t="s">
        <x:v>20</x:v>
      </x:c>
      <x:c r="B8" s="5" t="s">
        <x:v>21</x:v>
      </x:c>
      <x:c r="D8" s="4" t="s">
        <x:v>22</x:v>
      </x:c>
      <x:c r="E8" s="9" t="s">
        <x:v>23</x:v>
      </x:c>
      <x:c r="F8" s="9" t="s">
        <x:v>24</x:v>
      </x:c>
      <x:c r="G8" s="9" t="s">
        <x:v>13</x:v>
      </x:c>
      <x:c r="H8" s="5" t="s">
        <x:v>25</x:v>
      </x:c>
    </x:row>
    <x:row r="9">
      <x:c r="A9" s="4" t="s">
        <x:v>26</x:v>
      </x:c>
      <x:c r="B9" s="5" t="s">
        <x:v>27</x:v>
      </x:c>
      <x:c r="D9" s="4" t="s">
        <x:v>28</x:v>
      </x:c>
      <x:c r="E9" s="9" t="s">
        <x:v>29</x:v>
      </x:c>
      <x:c r="F9" s="9" t="s">
        <x:v>30</x:v>
      </x:c>
      <x:c r="G9" s="9" t="s">
        <x:v>13</x:v>
      </x:c>
      <x:c r="H9" s="5" t="s">
        <x:v>31</x:v>
      </x:c>
    </x:row>
    <x:row r="10">
      <x:c r="A10" s="4" t="s">
        <x:v>32</x:v>
      </x:c>
      <x:c r="B10" s="5" t="s">
        <x:v>33</x:v>
      </x:c>
      <x:c r="D10" s="4" t="s">
        <x:v>34</x:v>
      </x:c>
      <x:c r="E10" s="9" t="s">
        <x:v>29</x:v>
      </x:c>
      <x:c r="F10" s="9" t="s">
        <x:v>35</x:v>
      </x:c>
      <x:c r="G10" s="9" t="s">
        <x:v>36</x:v>
      </x:c>
      <x:c r="H10" s="5" t="s">
        <x:v>37</x:v>
      </x:c>
    </x:row>
    <x:row r="11">
      <x:c r="A11" s="4" t="s">
        <x:v>38</x:v>
      </x:c>
      <x:c r="B11" s="5" t="s">
        <x:v>39</x:v>
      </x:c>
      <x:c r="D11" s="4" t="s">
        <x:v>40</x:v>
      </x:c>
      <x:c r="E11" s="9" t="s">
        <x:v>41</x:v>
      </x:c>
      <x:c r="F11" s="9" t="s">
        <x:v>42</x:v>
      </x:c>
      <x:c r="G11" s="9" t="s">
        <x:v>36</x:v>
      </x:c>
      <x:c r="H11" s="5" t="s">
        <x:v>43</x:v>
      </x:c>
    </x:row>
    <x:row r="12">
      <x:c r="A12" s="4" t="s">
        <x:v>44</x:v>
      </x:c>
      <x:c r="B12" s="5" t="s">
        <x:v>45</x:v>
      </x:c>
      <x:c r="D12" s="4" t="s">
        <x:v>46</x:v>
      </x:c>
      <x:c r="E12" s="9" t="s">
        <x:v>41</x:v>
      </x:c>
      <x:c r="F12" s="9" t="s">
        <x:v>47</x:v>
      </x:c>
      <x:c r="G12" s="9" t="s">
        <x:v>36</x:v>
      </x:c>
      <x:c r="H12" s="5" t="s">
        <x:v>48</x:v>
      </x:c>
    </x:row>
    <x:row r="13">
      <x:c r="A13" s="4" t="s">
        <x:v>49</x:v>
      </x:c>
      <x:c r="B13" s="5" t="s">
        <x:v>50</x:v>
      </x:c>
      <x:c r="D13" s="6" t="s">
        <x:v>51</x:v>
      </x:c>
      <x:c r="E13" s="10" t="s">
        <x:v>52</x:v>
      </x:c>
      <x:c r="F13" s="10" t="s">
        <x:v>53</x:v>
      </x:c>
      <x:c r="G13" s="10" t="s">
        <x:v>54</x:v>
      </x:c>
      <x:c r="H13" s="7" t="s">
        <x:v>55</x:v>
      </x:c>
    </x:row>
    <x:row r="14">
      <x:c r="A14" s="6" t="s">
        <x:v>7</x:v>
      </x:c>
      <x:c r="B14" s="7" t="s">
        <x:v>56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5" customWidth="1"/>
    <x:col min="2" max="2" width="16" customWidth="1"/>
    <x:col min="3" max="3" width="12" customWidth="1"/>
    <x:col min="4" max="5" width="14" customWidth="1"/>
    <x:col min="6" max="7" width="12" customWidth="1"/>
    <x:col min="8" max="8" width="18" customWidth="1"/>
    <x:col min="9" max="9" width="8" customWidth="1"/>
    <x:col min="10" max="13" width="10" customWidth="1"/>
    <x:col min="14" max="14" width="13" customWidth="1"/>
    <x:col min="15" max="15" width="10" customWidth="1"/>
    <x:col min="16" max="16" width="11" customWidth="1"/>
    <x:col min="17" max="18" width="10" customWidth="1"/>
    <x:col min="19" max="19" width="34" customWidth="1"/>
    <x:col min="20" max="20" width="30" customWidth="1"/>
    <x:col min="21" max="22" width="36" customWidth="1"/>
    <x:col min="23" max="23" width="12" customWidth="1"/>
    <x:col min="24" max="24" width="32" customWidth="1"/>
  </x:cols>
  <x:sheetData>
    <x:row r="1" ht="30" customHeight="1">
      <x:c r="A1" s="28" t="s">
        <x:v>57</x:v>
      </x:c>
      <x:c r="B1" s="28" t="s">
        <x:v>57</x:v>
      </x:c>
      <x:c r="C1" s="28" t="s">
        <x:v>57</x:v>
      </x:c>
      <x:c r="D1" s="28" t="s">
        <x:v>57</x:v>
      </x:c>
      <x:c r="E1" s="28" t="s">
        <x:v>57</x:v>
      </x:c>
      <x:c r="F1" s="28" t="s">
        <x:v>57</x:v>
      </x:c>
      <x:c r="G1" s="28" t="s">
        <x:v>57</x:v>
      </x:c>
      <x:c r="H1" s="28" t="s">
        <x:v>57</x:v>
      </x:c>
      <x:c r="I1" s="28" t="s">
        <x:v>57</x:v>
      </x:c>
      <x:c r="J1" s="28" t="s">
        <x:v>57</x:v>
      </x:c>
      <x:c r="K1" s="28" t="s">
        <x:v>57</x:v>
      </x:c>
      <x:c r="L1" s="28" t="s">
        <x:v>57</x:v>
      </x:c>
      <x:c r="M1" s="28" t="s">
        <x:v>57</x:v>
      </x:c>
      <x:c r="N1" s="28" t="s">
        <x:v>57</x:v>
      </x:c>
      <x:c r="O1" s="28" t="s">
        <x:v>57</x:v>
      </x:c>
      <x:c r="P1" s="28" t="s">
        <x:v>57</x:v>
      </x:c>
      <x:c r="Q1" s="28" t="s">
        <x:v>57</x:v>
      </x:c>
      <x:c r="R1" s="28" t="s">
        <x:v>57</x:v>
      </x:c>
      <x:c r="S1" s="28" t="s">
        <x:v>57</x:v>
      </x:c>
      <x:c r="T1" s="28" t="s">
        <x:v>57</x:v>
      </x:c>
      <x:c r="U1" s="28" t="s">
        <x:v>57</x:v>
      </x:c>
      <x:c r="V1" s="28" t="s">
        <x:v>57</x:v>
      </x:c>
      <x:c r="W1" s="28" t="s">
        <x:v>57</x:v>
      </x:c>
      <x:c r="X1" s="28" t="s">
        <x:v>57</x:v>
      </x:c>
    </x:row>
    <x:row r="3" ht="42" customHeight="1">
      <x:c r="A3" s="29" t="s">
        <x:v>58</x:v>
      </x:c>
      <x:c r="B3" s="30" t="s">
        <x:v>58</x:v>
      </x:c>
      <x:c r="C3" s="30" t="s">
        <x:v>58</x:v>
      </x:c>
      <x:c r="D3" s="30" t="s">
        <x:v>58</x:v>
      </x:c>
      <x:c r="E3" s="30" t="s">
        <x:v>58</x:v>
      </x:c>
      <x:c r="F3" s="30" t="s">
        <x:v>58</x:v>
      </x:c>
      <x:c r="G3" s="30" t="s">
        <x:v>58</x:v>
      </x:c>
      <x:c r="H3" s="30" t="s">
        <x:v>58</x:v>
      </x:c>
      <x:c r="I3" s="30" t="s">
        <x:v>58</x:v>
      </x:c>
      <x:c r="J3" s="30" t="s">
        <x:v>58</x:v>
      </x:c>
      <x:c r="K3" s="30" t="s">
        <x:v>58</x:v>
      </x:c>
      <x:c r="L3" s="30" t="s">
        <x:v>58</x:v>
      </x:c>
      <x:c r="M3" s="30" t="s">
        <x:v>58</x:v>
      </x:c>
      <x:c r="N3" s="30" t="s">
        <x:v>58</x:v>
      </x:c>
      <x:c r="O3" s="30" t="s">
        <x:v>58</x:v>
      </x:c>
      <x:c r="P3" s="30" t="s">
        <x:v>58</x:v>
      </x:c>
      <x:c r="Q3" s="30" t="s">
        <x:v>58</x:v>
      </x:c>
      <x:c r="R3" s="30" t="s">
        <x:v>58</x:v>
      </x:c>
      <x:c r="S3" s="30" t="s">
        <x:v>58</x:v>
      </x:c>
      <x:c r="T3" s="30" t="s">
        <x:v>58</x:v>
      </x:c>
      <x:c r="U3" s="30" t="s">
        <x:v>58</x:v>
      </x:c>
      <x:c r="V3" s="30" t="s">
        <x:v>58</x:v>
      </x:c>
      <x:c r="W3" s="30" t="s">
        <x:v>58</x:v>
      </x:c>
      <x:c r="X3" s="31" t="s">
        <x:v>58</x:v>
      </x:c>
    </x:row>
    <x:row r="5" ht="30">
      <x:c r="A5" s="11" t="s">
        <x:v>59</x:v>
      </x:c>
      <x:c r="B5" s="11" t="s">
        <x:v>8</x:v>
      </x:c>
      <x:c r="C5" s="11" t="s">
        <x:v>60</x:v>
      </x:c>
      <x:c r="D5" s="11" t="s">
        <x:v>61</x:v>
      </x:c>
      <x:c r="E5" s="11" t="s">
        <x:v>62</x:v>
      </x:c>
      <x:c r="F5" s="23" t="s">
        <x:v>63</x:v>
      </x:c>
      <x:c r="G5" s="11" t="s">
        <x:v>64</x:v>
      </x:c>
      <x:c r="H5" s="11" t="s">
        <x:v>65</x:v>
      </x:c>
      <x:c r="I5" s="11" t="s">
        <x:v>66</x:v>
      </x:c>
      <x:c r="J5" s="11" t="s">
        <x:v>67</x:v>
      </x:c>
      <x:c r="K5" s="11" t="s">
        <x:v>68</x:v>
      </x:c>
      <x:c r="L5" s="11" t="s">
        <x:v>69</x:v>
      </x:c>
      <x:c r="M5" s="11" t="s">
        <x:v>70</x:v>
      </x:c>
      <x:c r="N5" s="11" t="s">
        <x:v>71</x:v>
      </x:c>
      <x:c r="O5" s="11" t="s">
        <x:v>72</x:v>
      </x:c>
      <x:c r="P5" s="11" t="s">
        <x:v>73</x:v>
      </x:c>
      <x:c r="Q5" s="11" t="s">
        <x:v>74</x:v>
      </x:c>
      <x:c r="R5" s="11" t="s">
        <x:v>75</x:v>
      </x:c>
      <x:c r="S5" s="11" t="s">
        <x:v>76</x:v>
      </x:c>
      <x:c r="T5" s="11" t="s">
        <x:v>77</x:v>
      </x:c>
      <x:c r="U5" s="11" t="s">
        <x:v>78</x:v>
      </x:c>
      <x:c r="V5" s="11" t="s">
        <x:v>79</x:v>
      </x:c>
      <x:c r="W5" s="11" t="s">
        <x:v>80</x:v>
      </x:c>
      <x:c r="X5" s="11" t="s">
        <x:v>7</x:v>
      </x:c>
    </x:row>
    <x:row r="6" ht="45">
      <x:c r="A6" s="2" t="s">
        <x:v>81</x:v>
      </x:c>
      <x:c r="B6" s="22" t="s">
        <x:v>82</x:v>
      </x:c>
      <x:c r="C6" s="8" t="s">
        <x:v>83</x:v>
      </x:c>
      <x:c r="D6" s="8" t="s">
        <x:v>84</x:v>
      </x:c>
      <x:c r="E6" s="8" t="s">
        <x:v>84</x:v>
      </x:c>
      <x:c r="F6" s="8" t="s">
        <x:v>85</x:v>
      </x:c>
      <x:c r="G6" s="8" t="s">
        <x:v>86</x:v>
      </x:c>
      <x:c r="H6" s="8" t="s">
        <x:v>87</x:v>
      </x:c>
      <x:c r="I6" s="12">
        <x:v>1</x:v>
      </x:c>
      <x:c r="J6" s="12"/>
      <x:c r="K6" s="12">
        <x:v>0</x:v>
      </x:c>
      <x:c r="L6" s="12">
        <x:v>0</x:v>
      </x:c>
      <x:c r="M6" s="12"/>
      <x:c r="N6" s="12">
        <x:v>2</x:v>
      </x:c>
      <x:c r="O6" s="12">
        <x:v>0</x:v>
      </x:c>
      <x:c r="P6" s="12">
        <x:v>0</x:v>
      </x:c>
      <x:c r="Q6" s="12">
        <x:v>0</x:v>
      </x:c>
      <x:c r="R6" s="12">
        <x:v>0</x:v>
      </x:c>
      <x:c r="S6" s="21" t="s">
        <x:v>88</x:v>
      </x:c>
      <x:c r="T6" s="22"/>
      <x:c r="U6" s="22" t="s">
        <x:v>89</x:v>
      </x:c>
      <x:c r="V6" s="22" t="s">
        <x:v>90</x:v>
      </x:c>
      <x:c r="W6" s="15" t="n">
        <x:f>IF(COUNTA(A6:V6)=0,"",N(M6)/2+N(N6)/3+N(O6)+N(P6)*1.5+N(Q6)/5+N(R6)*2-N(I6)-N(K6)*0.5-N(L6))</x:f>
        <x:v>-0.33333333333333337</x:v>
      </x:c>
      <x:c r="X6" s="3"/>
    </x:row>
    <x:row r="7" ht="45">
      <x:c r="A7" s="4" t="s">
        <x:v>91</x:v>
      </x:c>
      <x:c r="B7" s="24" t="s">
        <x:v>92</x:v>
      </x:c>
      <x:c r="C7" s="9" t="s">
        <x:v>83</x:v>
      </x:c>
      <x:c r="D7" s="9" t="s">
        <x:v>93</x:v>
      </x:c>
      <x:c r="E7" s="9" t="s">
        <x:v>93</x:v>
      </x:c>
      <x:c r="F7" s="9" t="s">
        <x:v>85</x:v>
      </x:c>
      <x:c r="G7" s="9" t="s">
        <x:v>86</x:v>
      </x:c>
      <x:c r="H7" s="9" t="s">
        <x:v>87</x:v>
      </x:c>
      <x:c r="I7" s="13">
        <x:v>2</x:v>
      </x:c>
      <x:c r="J7" s="13"/>
      <x:c r="K7" s="13">
        <x:v>0</x:v>
      </x:c>
      <x:c r="L7" s="13">
        <x:v>0</x:v>
      </x:c>
      <x:c r="M7" s="13">
        <x:v>0</x:v>
      </x:c>
      <x:c r="N7" s="13">
        <x:v>0</x:v>
      </x:c>
      <x:c r="O7" s="13">
        <x:v>1</x:v>
      </x:c>
      <x:c r="P7" s="13">
        <x:v>0</x:v>
      </x:c>
      <x:c r="Q7" s="13">
        <x:v>0</x:v>
      </x:c>
      <x:c r="R7" s="13">
        <x:v>0</x:v>
      </x:c>
      <x:c r="S7" s="25" t="s">
        <x:v>94</x:v>
      </x:c>
      <x:c r="T7" s="9"/>
      <x:c r="U7" s="24" t="s">
        <x:v>95</x:v>
      </x:c>
      <x:c r="V7" s="24" t="s">
        <x:v>96</x:v>
      </x:c>
      <x:c r="W7" s="15" t="n">
        <x:f>IF(COUNTA(A7:V7)=0,"",N(M7)/2+N(N7)/3+N(O7)+N(P7)*1.5+N(Q7)/5+N(R7)*2-N(I7)-N(K7)*0.5-N(L7))</x:f>
        <x:v>-1</x:v>
      </x:c>
      <x:c r="X7" s="5"/>
    </x:row>
    <x:row r="8" ht="30">
      <x:c r="A8" s="4" t="s">
        <x:v>97</x:v>
      </x:c>
      <x:c r="B8" s="9" t="s">
        <x:v>98</x:v>
      </x:c>
      <x:c r="C8" s="9" t="s">
        <x:v>83</x:v>
      </x:c>
      <x:c r="D8" s="9" t="s">
        <x:v>99</x:v>
      </x:c>
      <x:c r="E8" s="9" t="s">
        <x:v>99</x:v>
      </x:c>
      <x:c r="F8" s="9" t="s">
        <x:v>85</x:v>
      </x:c>
      <x:c r="G8" s="9" t="s">
        <x:v>86</x:v>
      </x:c>
      <x:c r="H8" s="9" t="s">
        <x:v>87</x:v>
      </x:c>
      <x:c r="I8" s="13">
        <x:v>3</x:v>
      </x:c>
      <x:c r="J8" s="13"/>
      <x:c r="K8" s="13">
        <x:v>0</x:v>
      </x:c>
      <x:c r="L8" s="13">
        <x:v>0</x:v>
      </x:c>
      <x:c r="M8" s="13">
        <x:v>0</x:v>
      </x:c>
      <x:c r="N8" s="13">
        <x:v>0</x:v>
      </x:c>
      <x:c r="O8" s="13">
        <x:v>0</x:v>
      </x:c>
      <x:c r="P8" s="13">
        <x:v>2</x:v>
      </x:c>
      <x:c r="Q8" s="13">
        <x:v>0</x:v>
      </x:c>
      <x:c r="R8" s="13">
        <x:v>0</x:v>
      </x:c>
      <x:c r="S8" s="9" t="s">
        <x:v>100</x:v>
      </x:c>
      <x:c r="T8" s="9"/>
      <x:c r="U8" s="24" t="s">
        <x:v>101</x:v>
      </x:c>
      <x:c r="V8" s="25" t="s">
        <x:v>102</x:v>
      </x:c>
      <x:c r="W8" s="15" t="n">
        <x:f>IF(COUNTA(A8:V8)=0,"",N(M8)/2+N(N8)/3+N(O8)+N(P8)*1.5+N(Q8)/5+N(R8)*2-N(I8)-N(K8)*0.5-N(L8))</x:f>
        <x:v>0</x:v>
      </x:c>
      <x:c r="X8" s="5"/>
    </x:row>
    <x:row r="9" ht="28.5">
      <x:c r="A9" s="4"/>
      <x:c r="B9" s="9" t="s">
        <x:v>103</x:v>
      </x:c>
      <x:c r="C9" s="9" t="s">
        <x:v>83</x:v>
      </x:c>
      <x:c r="D9" s="9" t="s">
        <x:v>104</x:v>
      </x:c>
      <x:c r="E9" s="9" t="s">
        <x:v>105</x:v>
      </x:c>
      <x:c r="F9" s="9" t="s">
        <x:v>85</x:v>
      </x:c>
      <x:c r="G9" s="9" t="s">
        <x:v>86</x:v>
      </x:c>
      <x:c r="H9" s="9" t="s">
        <x:v>87</x:v>
      </x:c>
      <x:c r="I9" s="13">
        <x:v>0</x:v>
      </x:c>
      <x:c r="J9" s="13"/>
      <x:c r="K9" s="13"/>
      <x:c r="L9" s="13"/>
      <x:c r="M9" s="13"/>
      <x:c r="N9" s="13"/>
      <x:c r="O9" s="13"/>
      <x:c r="P9" s="13"/>
      <x:c r="Q9" s="13"/>
      <x:c r="R9" s="13"/>
      <x:c r="S9" s="9" t="s">
        <x:v>106</x:v>
      </x:c>
      <x:c r="T9" s="9"/>
      <x:c r="U9" s="24" t="s">
        <x:v>107</x:v>
      </x:c>
      <x:c r="V9" s="25" t="s">
        <x:v>108</x:v>
      </x:c>
      <x:c r="W9" s="15" t="n">
        <x:f>IF(COUNTA(A9:V9)=0,"",N(M9)/2+N(N9)/3+N(O9)+N(P9)*1.5+N(Q9)/5+N(R9)*2-N(I9)-N(K9)*0.5-N(L9))</x:f>
        <x:v>0</x:v>
      </x:c>
      <x:c r="X9" s="5"/>
    </x:row>
    <x:row r="10">
      <x:c r="A10" s="4" t="s">
        <x:v>109</x:v>
      </x:c>
      <x:c r="B10" s="9" t="s">
        <x:v>110</x:v>
      </x:c>
      <x:c r="C10" s="9" t="s">
        <x:v>83</x:v>
      </x:c>
      <x:c r="D10" s="9" t="s">
        <x:v>111</x:v>
      </x:c>
      <x:c r="E10" s="9" t="s">
        <x:v>111</x:v>
      </x:c>
      <x:c r="F10" s="9" t="s">
        <x:v>85</x:v>
      </x:c>
      <x:c r="G10" s="9" t="s">
        <x:v>112</x:v>
      </x:c>
      <x:c r="H10" s="9" t="s">
        <x:v>113</x:v>
      </x:c>
      <x:c r="I10" s="13">
        <x:v>1</x:v>
      </x:c>
      <x:c r="J10" s="13">
        <x:v>1</x:v>
      </x:c>
      <x:c r="K10" s="13">
        <x:v>0</x:v>
      </x:c>
      <x:c r="L10" s="13">
        <x:v>0</x:v>
      </x:c>
      <x:c r="M10" s="13">
        <x:v>0</x:v>
      </x:c>
      <x:c r="N10" s="13">
        <x:v>0</x:v>
      </x:c>
      <x:c r="O10" s="13">
        <x:v>0</x:v>
      </x:c>
      <x:c r="P10" s="13">
        <x:v>0</x:v>
      </x:c>
      <x:c r="Q10" s="13">
        <x:v>0</x:v>
      </x:c>
      <x:c r="R10" s="13">
        <x:v>0</x:v>
      </x:c>
      <x:c r="S10" s="9" t="s">
        <x:v>114</x:v>
      </x:c>
      <x:c r="T10" s="9" t="s">
        <x:v>115</x:v>
      </x:c>
      <x:c r="U10" s="9" t="s">
        <x:v>116</x:v>
      </x:c>
      <x:c r="V10" s="9" t="s">
        <x:v>117</x:v>
      </x:c>
      <x:c r="W10" s="15" t="n">
        <x:f>IF(COUNTA(A10:V10)=0,"",N(M10)/2+N(N10)/3+N(O10)+N(P10)*1.5+N(Q10)/5+N(R10)*2-N(I10)-N(K10)*0.5-N(L10))</x:f>
        <x:v>-1</x:v>
      </x:c>
      <x:c r="X10" s="5"/>
    </x:row>
    <x:row r="11" ht="28.5">
      <x:c r="A11" s="4" t="s">
        <x:v>118</x:v>
      </x:c>
      <x:c r="B11" s="9" t="s">
        <x:v>119</x:v>
      </x:c>
      <x:c r="C11" s="9" t="s">
        <x:v>83</x:v>
      </x:c>
      <x:c r="D11" s="9" t="s">
        <x:v>120</x:v>
      </x:c>
      <x:c r="E11" s="9" t="s">
        <x:v>84</x:v>
      </x:c>
      <x:c r="F11" s="9" t="s">
        <x:v>85</x:v>
      </x:c>
      <x:c r="G11" s="9" t="s">
        <x:v>112</x:v>
      </x:c>
      <x:c r="H11" s="9" t="s">
        <x:v>113</x:v>
      </x:c>
      <x:c r="I11" s="13">
        <x:v>0</x:v>
      </x:c>
      <x:c r="J11" s="13">
        <x:v>3</x:v>
      </x:c>
      <x:c r="K11" s="13">
        <x:v>2</x:v>
      </x:c>
      <x:c r="L11" s="13">
        <x:v>0</x:v>
      </x:c>
      <x:c r="M11" s="13">
        <x:v>0</x:v>
      </x:c>
      <x:c r="N11" s="13">
        <x:v>6</x:v>
      </x:c>
      <x:c r="O11" s="13">
        <x:v>0</x:v>
      </x:c>
      <x:c r="P11" s="13">
        <x:v>0</x:v>
      </x:c>
      <x:c r="Q11" s="13">
        <x:v>0</x:v>
      </x:c>
      <x:c r="R11" s="13">
        <x:v>0</x:v>
      </x:c>
      <x:c r="S11" s="9" t="s">
        <x:v>121</x:v>
      </x:c>
      <x:c r="T11" s="9" t="s">
        <x:v>122</x:v>
      </x:c>
      <x:c r="U11" s="9" t="s">
        <x:v>123</x:v>
      </x:c>
      <x:c r="V11" s="9" t="s">
        <x:v>124</x:v>
      </x:c>
      <x:c r="W11" s="15" t="n">
        <x:f>IF(COUNTA(A11:V11)=0,"",N(M11)/2+N(N11)/3+N(O11)+N(P11)*1.5+N(Q11)/5+N(R11)*2-N(I11)-N(K11)*0.5-N(L11))</x:f>
        <x:v>1</x:v>
      </x:c>
      <x:c r="X11" s="5"/>
    </x:row>
    <x:row r="12">
      <x:c r="A12" s="4" t="s">
        <x:v>125</x:v>
      </x:c>
      <x:c r="B12" s="9" t="s">
        <x:v>126</x:v>
      </x:c>
      <x:c r="C12" s="9" t="s">
        <x:v>83</x:v>
      </x:c>
      <x:c r="D12" s="9" t="s">
        <x:v>127</x:v>
      </x:c>
      <x:c r="E12" s="9" t="s">
        <x:v>105</x:v>
      </x:c>
      <x:c r="F12" s="9" t="s">
        <x:v>85</x:v>
      </x:c>
      <x:c r="G12" s="9" t="s">
        <x:v>112</x:v>
      </x:c>
      <x:c r="H12" s="9" t="s">
        <x:v>113</x:v>
      </x:c>
      <x:c r="I12" s="13">
        <x:v>1</x:v>
      </x:c>
      <x:c r="J12" s="13"/>
      <x:c r="K12" s="13">
        <x:v>0</x:v>
      </x:c>
      <x:c r="L12" s="13">
        <x:v>0</x:v>
      </x:c>
      <x:c r="M12" s="13">
        <x:v>0</x:v>
      </x:c>
      <x:c r="N12" s="13">
        <x:v>0</x:v>
      </x:c>
      <x:c r="O12" s="13">
        <x:v>0</x:v>
      </x:c>
      <x:c r="P12" s="13">
        <x:v>0</x:v>
      </x:c>
      <x:c r="Q12" s="13">
        <x:v>0</x:v>
      </x:c>
      <x:c r="R12" s="13">
        <x:v>1</x:v>
      </x:c>
      <x:c r="S12" s="9" t="s">
        <x:v>128</x:v>
      </x:c>
      <x:c r="T12" s="9"/>
      <x:c r="U12" s="9" t="s">
        <x:v>129</x:v>
      </x:c>
      <x:c r="V12" s="9" t="s">
        <x:v>130</x:v>
      </x:c>
      <x:c r="W12" s="15" t="n">
        <x:f>IF(COUNTA(A12:V12)=0,"",N(M12)/2+N(N12)/3+N(O12)+N(P12)*1.5+N(Q12)/5+N(R12)*2-N(I12)-N(K12)*0.5-N(L12))</x:f>
        <x:v>1</x:v>
      </x:c>
      <x:c r="X12" s="5"/>
    </x:row>
    <x:row r="13">
      <x:c r="A13" s="4" t="s">
        <x:v>131</x:v>
      </x:c>
      <x:c r="B13" s="9" t="s">
        <x:v>132</x:v>
      </x:c>
      <x:c r="C13" s="9" t="s">
        <x:v>83</x:v>
      </x:c>
      <x:c r="D13" s="9" t="s">
        <x:v>133</x:v>
      </x:c>
      <x:c r="E13" s="9" t="s">
        <x:v>134</x:v>
      </x:c>
      <x:c r="F13" s="9" t="s">
        <x:v>85</x:v>
      </x:c>
      <x:c r="G13" s="9" t="s">
        <x:v>112</x:v>
      </x:c>
      <x:c r="H13" s="9" t="s">
        <x:v>135</x:v>
      </x:c>
      <x:c r="I13" s="13">
        <x:v>0</x:v>
      </x:c>
      <x:c r="J13" s="13"/>
      <x:c r="K13" s="13">
        <x:v>0</x:v>
      </x:c>
      <x:c r="L13" s="13">
        <x:v>0</x:v>
      </x:c>
      <x:c r="M13" s="13">
        <x:v>0</x:v>
      </x:c>
      <x:c r="N13" s="13">
        <x:v>0</x:v>
      </x:c>
      <x:c r="O13" s="13">
        <x:v>0</x:v>
      </x:c>
      <x:c r="P13" s="13">
        <x:v>0</x:v>
      </x:c>
      <x:c r="Q13" s="13">
        <x:v>-2</x:v>
      </x:c>
      <x:c r="R13" s="13">
        <x:v>0</x:v>
      </x:c>
      <x:c r="S13" s="9" t="s">
        <x:v>136</x:v>
      </x:c>
      <x:c r="T13" s="9" t="s">
        <x:v>137</x:v>
      </x:c>
      <x:c r="U13" s="9" t="s">
        <x:v>138</x:v>
      </x:c>
      <x:c r="V13" s="9" t="s">
        <x:v>139</x:v>
      </x:c>
      <x:c r="W13" s="15" t="n">
        <x:f>IF(COUNTA(A13:V13)=0,"",N(M13)/2+N(N13)/3+N(O13)+N(P13)*1.5+N(Q13)/5+N(R13)*2-N(I13)-N(K13)*0.5-N(L13))</x:f>
        <x:v>-0.4</x:v>
      </x:c>
      <x:c r="X13" s="5"/>
    </x:row>
    <x:row r="14" ht="15">
      <x:c r="A14" s="4"/>
      <x:c r="B14" s="24" t="s">
        <x:v>140</x:v>
      </x:c>
      <x:c r="C14" s="9" t="s">
        <x:v>83</x:v>
      </x:c>
      <x:c r="D14" s="9" t="s">
        <x:v>84</x:v>
      </x:c>
      <x:c r="E14" s="9" t="s">
        <x:v>84</x:v>
      </x:c>
      <x:c r="F14" s="9" t="s">
        <x:v>85</x:v>
      </x:c>
      <x:c r="G14" s="9" t="s">
        <x:v>112</x:v>
      </x:c>
      <x:c r="H14" s="9" t="s">
        <x:v>141</x:v>
      </x:c>
      <x:c r="I14" s="13">
        <x:v>1</x:v>
      </x:c>
      <x:c r="J14" s="13">
        <x:v>2</x:v>
      </x:c>
      <x:c r="K14" s="13"/>
      <x:c r="L14" s="13"/>
      <x:c r="M14" s="13">
        <x:v>2</x:v>
      </x:c>
      <x:c r="N14" s="13"/>
      <x:c r="O14" s="13"/>
      <x:c r="P14" s="13"/>
      <x:c r="Q14" s="13"/>
      <x:c r="R14" s="13"/>
      <x:c r="S14" s="25" t="s">
        <x:v>142</x:v>
      </x:c>
      <x:c r="T14" s="9"/>
      <x:c r="U14" s="9" t="s">
        <x:v>143</x:v>
      </x:c>
      <x:c r="V14" s="25" t="s">
        <x:v>144</x:v>
      </x:c>
      <x:c r="W14" s="15" t="n">
        <x:f>IF(COUNTA(A14:V14)=0,"",N(M14)/2+N(N14)/3+N(O14)+N(P14)*1.5+N(Q14)/5+N(R14)*2-N(I14)-N(K14)*0.5-N(L14))</x:f>
        <x:v>0</x:v>
      </x:c>
      <x:c r="X14" s="5"/>
    </x:row>
    <x:row r="15" ht="15">
      <x:c r="A15" s="4"/>
      <x:c r="B15" s="9" t="s">
        <x:v>145</x:v>
      </x:c>
      <x:c r="C15" s="9" t="s">
        <x:v>83</x:v>
      </x:c>
      <x:c r="D15" s="9" t="s">
        <x:v>84</x:v>
      </x:c>
      <x:c r="E15" s="9" t="s">
        <x:v>84</x:v>
      </x:c>
      <x:c r="F15" s="9" t="s">
        <x:v>85</x:v>
      </x:c>
      <x:c r="G15" s="9" t="s">
        <x:v>112</x:v>
      </x:c>
      <x:c r="H15" s="9" t="s">
        <x:v>146</x:v>
      </x:c>
      <x:c r="I15" s="13">
        <x:v>2</x:v>
      </x:c>
      <x:c r="J15" s="13">
        <x:v>4</x:v>
      </x:c>
      <x:c r="K15" s="13"/>
      <x:c r="L15" s="13"/>
      <x:c r="M15" s="13">
        <x:v>3</x:v>
      </x:c>
      <x:c r="N15" s="13"/>
      <x:c r="O15" s="13"/>
      <x:c r="P15" s="13"/>
      <x:c r="Q15" s="13"/>
      <x:c r="R15" s="13"/>
      <x:c r="S15" s="9" t="s">
        <x:v>147</x:v>
      </x:c>
      <x:c r="T15" s="9"/>
      <x:c r="U15" s="9" t="s">
        <x:v>148</x:v>
      </x:c>
      <x:c r="V15" s="25" t="s">
        <x:v>144</x:v>
      </x:c>
      <x:c r="W15" s="15" t="n">
        <x:f>IF(COUNTA(A15:V15)=0,"",N(M15)/2+N(N15)/3+N(O15)+N(P15)*1.5+N(Q15)/5+N(R15)*2-N(I15)-N(K15)*0.5-N(L15))</x:f>
        <x:v>-0.5</x:v>
      </x:c>
      <x:c r="X15" s="5"/>
    </x:row>
    <x:row r="16" ht="15">
      <x:c r="A16" s="4"/>
      <x:c r="B16" s="9" t="s">
        <x:v>149</x:v>
      </x:c>
      <x:c r="C16" s="9" t="s">
        <x:v>83</x:v>
      </x:c>
      <x:c r="D16" s="9" t="s">
        <x:v>84</x:v>
      </x:c>
      <x:c r="E16" s="9" t="s">
        <x:v>84</x:v>
      </x:c>
      <x:c r="F16" s="9" t="s">
        <x:v>85</x:v>
      </x:c>
      <x:c r="G16" s="9" t="s">
        <x:v>112</x:v>
      </x:c>
      <x:c r="H16" s="9" t="s">
        <x:v>146</x:v>
      </x:c>
      <x:c r="I16" s="13">
        <x:v>1</x:v>
      </x:c>
      <x:c r="J16" s="13">
        <x:v>1</x:v>
      </x:c>
      <x:c r="K16" s="13"/>
      <x:c r="L16" s="13"/>
      <x:c r="M16" s="13">
        <x:v>2</x:v>
      </x:c>
      <x:c r="N16" s="13"/>
      <x:c r="O16" s="13"/>
      <x:c r="P16" s="13"/>
      <x:c r="Q16" s="13">
        <x:v>2</x:v>
      </x:c>
      <x:c r="R16" s="13"/>
      <x:c r="S16" s="9" t="s">
        <x:v>150</x:v>
      </x:c>
      <x:c r="T16" s="9"/>
      <x:c r="U16" s="24" t="s">
        <x:v>151</x:v>
      </x:c>
      <x:c r="V16" s="25" t="s">
        <x:v>144</x:v>
      </x:c>
      <x:c r="W16" s="15" t="n">
        <x:f>IF(COUNTA(A16:V16)=0,"",N(M16)/2+N(N16)/3+N(O16)+N(P16)*1.5+N(Q16)/5+N(R16)*2-N(I16)-N(K16)*0.5-N(L16))</x:f>
        <x:v>0.3999999999999999</x:v>
      </x:c>
      <x:c r="X16" s="5"/>
    </x:row>
    <x:row r="17" ht="15">
      <x:c r="A17" s="4"/>
      <x:c r="B17" s="9" t="s">
        <x:v>152</x:v>
      </x:c>
      <x:c r="C17" s="9" t="s">
        <x:v>83</x:v>
      </x:c>
      <x:c r="D17" s="9" t="s">
        <x:v>84</x:v>
      </x:c>
      <x:c r="E17" s="9" t="s">
        <x:v>84</x:v>
      </x:c>
      <x:c r="F17" s="9" t="s">
        <x:v>85</x:v>
      </x:c>
      <x:c r="G17" s="9" t="s">
        <x:v>153</x:v>
      </x:c>
      <x:c r="H17" s="9" t="s">
        <x:v>146</x:v>
      </x:c>
      <x:c r="I17" s="13">
        <x:v>2</x:v>
      </x:c>
      <x:c r="J17" s="13">
        <x:v>2</x:v>
      </x:c>
      <x:c r="K17" s="13"/>
      <x:c r="L17" s="13"/>
      <x:c r="M17" s="13">
        <x:v>6</x:v>
      </x:c>
      <x:c r="N17" s="13"/>
      <x:c r="O17" s="13"/>
      <x:c r="P17" s="13"/>
      <x:c r="Q17" s="13"/>
      <x:c r="R17" s="13"/>
      <x:c r="S17" s="9" t="s">
        <x:v>154</x:v>
      </x:c>
      <x:c r="T17" s="9"/>
      <x:c r="U17" s="9" t="s">
        <x:v>155</x:v>
      </x:c>
      <x:c r="V17" s="25" t="s">
        <x:v>144</x:v>
      </x:c>
      <x:c r="W17" s="15" t="n">
        <x:f>IF(COUNTA(A17:V17)=0,"",N(M17)/2+N(N17)/3+N(O17)+N(P17)*1.5+N(Q17)/5+N(R17)*2-N(I17)-N(K17)*0.5-N(L17))</x:f>
        <x:v>1</x:v>
      </x:c>
      <x:c r="X17" s="32" t="s">
        <x:v>156</x:v>
      </x:c>
    </x:row>
    <x:row r="18" ht="28.5">
      <x:c r="A18" s="4"/>
      <x:c r="B18" s="24" t="s">
        <x:v>157</x:v>
      </x:c>
      <x:c r="C18" s="9" t="s">
        <x:v>83</x:v>
      </x:c>
      <x:c r="D18" s="9" t="s">
        <x:v>93</x:v>
      </x:c>
      <x:c r="E18" s="9" t="s">
        <x:v>93</x:v>
      </x:c>
      <x:c r="F18" s="9" t="s">
        <x:v>85</x:v>
      </x:c>
      <x:c r="G18" s="9" t="s">
        <x:v>112</x:v>
      </x:c>
      <x:c r="H18" s="9" t="s">
        <x:v>158</x:v>
      </x:c>
      <x:c r="I18" s="13">
        <x:v>1</x:v>
      </x:c>
      <x:c r="J18" s="13">
        <x:v>4</x:v>
      </x:c>
      <x:c r="K18" s="13"/>
      <x:c r="L18" s="13"/>
      <x:c r="M18" s="13"/>
      <x:c r="N18" s="13"/>
      <x:c r="O18" s="13">
        <x:v>1</x:v>
      </x:c>
      <x:c r="P18" s="13"/>
      <x:c r="Q18" s="13"/>
      <x:c r="R18" s="13"/>
      <x:c r="S18" s="25" t="s">
        <x:v>159</x:v>
      </x:c>
      <x:c r="T18" s="9"/>
      <x:c r="U18" s="9" t="s">
        <x:v>160</x:v>
      </x:c>
      <x:c r="V18" s="25" t="s">
        <x:v>161</x:v>
      </x:c>
      <x:c r="W18" s="15" t="n">
        <x:f>IF(COUNTA(A18:V18)=0,"",N(M18)/2+N(N18)/3+N(O18)+N(P18)*1.5+N(Q18)/5+N(R18)*2-N(I18)-N(K18)*0.5-N(L18))</x:f>
        <x:v>0</x:v>
      </x:c>
      <x:c r="X18" s="5"/>
    </x:row>
    <x:row r="19" ht="15">
      <x:c r="A19" s="4"/>
      <x:c r="B19" s="24"/>
      <x:c r="C19" s="9"/>
      <x:c r="D19" s="9"/>
      <x:c r="E19" s="9"/>
      <x:c r="F19" s="9"/>
      <x:c r="G19" s="9"/>
      <x:c r="H19" s="9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9"/>
      <x:c r="T19" s="9"/>
      <x:c r="U19" s="9"/>
      <x:c r="V19" s="25"/>
      <x:c r="W19" s="15" t="str">
        <x:f>IF(COUNTA(A19:V19)=0,"",N(M19)/2+N(N19)/3+N(O19)+N(P19)*1.5+N(Q19)/5+N(R19)*2-N(I19)-N(K19)*0.5-N(L19))</x:f>
      </x:c>
      <x:c r="X19" s="5"/>
    </x:row>
    <x:row r="20" ht="28.5">
      <x:c r="A20" s="4"/>
      <x:c r="B20" s="9" t="s">
        <x:v>162</x:v>
      </x:c>
      <x:c r="C20" s="9" t="s">
        <x:v>83</x:v>
      </x:c>
      <x:c r="D20" s="9" t="s">
        <x:v>93</x:v>
      </x:c>
      <x:c r="E20" s="9" t="s">
        <x:v>93</x:v>
      </x:c>
      <x:c r="F20" s="9" t="s">
        <x:v>85</x:v>
      </x:c>
      <x:c r="G20" s="9" t="s">
        <x:v>112</x:v>
      </x:c>
      <x:c r="H20" s="9" t="s">
        <x:v>158</x:v>
      </x:c>
      <x:c r="I20" s="13">
        <x:v>2</x:v>
      </x:c>
      <x:c r="J20" s="13">
        <x:v>1</x:v>
      </x:c>
      <x:c r="K20" s="13"/>
      <x:c r="L20" s="13"/>
      <x:c r="M20" s="13"/>
      <x:c r="N20" s="13"/>
      <x:c r="O20" s="13">
        <x:v>4</x:v>
      </x:c>
      <x:c r="P20" s="13"/>
      <x:c r="Q20" s="13"/>
      <x:c r="R20" s="13"/>
      <x:c r="S20" s="9"/>
      <x:c r="T20" s="9"/>
      <x:c r="U20" s="9" t="s">
        <x:v>163</x:v>
      </x:c>
      <x:c r="V20" s="25" t="s">
        <x:v>161</x:v>
      </x:c>
      <x:c r="W20" s="15" t="n">
        <x:f>IF(COUNTA(A20:V20)=0,"",N(M20)/2+N(N20)/3+N(O20)+N(P20)*1.5+N(Q20)/5+N(R20)*2-N(I20)-N(K20)*0.5-N(L20))</x:f>
        <x:v>2</x:v>
      </x:c>
      <x:c r="X20" s="5"/>
    </x:row>
    <x:row r="21" ht="28.5">
      <x:c r="A21" s="4"/>
      <x:c r="B21" s="24" t="s">
        <x:v>164</x:v>
      </x:c>
      <x:c r="C21" s="9" t="s">
        <x:v>83</x:v>
      </x:c>
      <x:c r="D21" s="9" t="s">
        <x:v>93</x:v>
      </x:c>
      <x:c r="E21" s="9" t="s">
        <x:v>93</x:v>
      </x:c>
      <x:c r="F21" s="9" t="s">
        <x:v>85</x:v>
      </x:c>
      <x:c r="G21" s="9" t="s">
        <x:v>153</x:v>
      </x:c>
      <x:c r="H21" s="9" t="s">
        <x:v>158</x:v>
      </x:c>
      <x:c r="I21" s="13">
        <x:v>4</x:v>
      </x:c>
      <x:c r="J21" s="13">
        <x:v>1</x:v>
      </x:c>
      <x:c r="K21" s="13"/>
      <x:c r="L21" s="13"/>
      <x:c r="M21" s="13"/>
      <x:c r="N21" s="13"/>
      <x:c r="O21" s="13">
        <x:v>10</x:v>
      </x:c>
      <x:c r="P21" s="13"/>
      <x:c r="Q21" s="13"/>
      <x:c r="R21" s="13"/>
      <x:c r="S21" s="9"/>
      <x:c r="T21" s="9"/>
      <x:c r="U21" s="9" t="s">
        <x:v>165</x:v>
      </x:c>
      <x:c r="V21" s="9" t="s">
        <x:v>166</x:v>
      </x:c>
      <x:c r="W21" s="15" t="n">
        <x:f>IF(COUNTA(A21:V21)=0,"",N(M21)/2+N(N21)/3+N(O21)+N(P21)*1.5+N(Q21)/5+N(R21)*2-N(I21)-N(K21)*0.5-N(L21))</x:f>
        <x:v>6</x:v>
      </x:c>
      <x:c r="X21" s="5" t="s">
        <x:v>167</x:v>
      </x:c>
    </x:row>
    <x:row r="22" ht="30">
      <x:c r="A22" s="4"/>
      <x:c r="B22" s="24" t="s">
        <x:v>168</x:v>
      </x:c>
      <x:c r="C22" s="9" t="s">
        <x:v>83</x:v>
      </x:c>
      <x:c r="D22" s="9" t="s">
        <x:v>104</x:v>
      </x:c>
      <x:c r="E22" s="9" t="s">
        <x:v>105</x:v>
      </x:c>
      <x:c r="F22" s="9" t="s">
        <x:v>85</x:v>
      </x:c>
      <x:c r="G22" s="9" t="s">
        <x:v>112</x:v>
      </x:c>
      <x:c r="H22" s="9" t="s">
        <x:v>169</x:v>
      </x:c>
      <x:c r="I22" s="13">
        <x:v>0</x:v>
      </x:c>
      <x:c r="J22" s="13">
        <x:v>2</x:v>
      </x:c>
      <x:c r="K22" s="13"/>
      <x:c r="L22" s="13"/>
      <x:c r="M22" s="13"/>
      <x:c r="N22" s="13"/>
      <x:c r="O22" s="13"/>
      <x:c r="P22" s="13"/>
      <x:c r="Q22" s="13"/>
      <x:c r="R22" s="13"/>
      <x:c r="S22" s="24" t="s">
        <x:v>170</x:v>
      </x:c>
      <x:c r="T22" s="9"/>
      <x:c r="U22" s="24" t="s">
        <x:v>171</x:v>
      </x:c>
      <x:c r="V22" s="24" t="s">
        <x:v>172</x:v>
      </x:c>
      <x:c r="W22" s="15" t="n">
        <x:f>IF(COUNTA(A22:V22)=0,"",N(M22)/2+N(N22)/3+N(O22)+N(P22)*1.5+N(Q22)/5+N(R22)*2-N(I22)-N(K22)*0.5-N(L22))</x:f>
        <x:v>0</x:v>
      </x:c>
      <x:c r="X22" s="5"/>
    </x:row>
    <x:row r="23" ht="30">
      <x:c r="A23" s="4"/>
      <x:c r="B23" s="24" t="s">
        <x:v>173</x:v>
      </x:c>
      <x:c r="C23" s="9" t="s">
        <x:v>83</x:v>
      </x:c>
      <x:c r="D23" s="9" t="s">
        <x:v>104</x:v>
      </x:c>
      <x:c r="E23" s="9" t="s">
        <x:v>105</x:v>
      </x:c>
      <x:c r="F23" s="9" t="s">
        <x:v>85</x:v>
      </x:c>
      <x:c r="G23" s="9" t="s">
        <x:v>86</x:v>
      </x:c>
      <x:c r="H23" s="9" t="s">
        <x:v>174</x:v>
      </x:c>
      <x:c r="I23" s="13">
        <x:v>0</x:v>
      </x:c>
      <x:c r="J23" s="13"/>
      <x:c r="K23" s="13"/>
      <x:c r="L23" s="13"/>
      <x:c r="M23" s="13"/>
      <x:c r="N23" s="13"/>
      <x:c r="O23" s="13"/>
      <x:c r="P23" s="13"/>
      <x:c r="Q23" s="13"/>
      <x:c r="R23" s="13"/>
      <x:c r="S23" s="9" t="s">
        <x:v>106</x:v>
      </x:c>
      <x:c r="T23" s="9"/>
      <x:c r="U23" s="24" t="s">
        <x:v>175</x:v>
      </x:c>
      <x:c r="V23" s="9" t="s">
        <x:v>172</x:v>
      </x:c>
      <x:c r="W23" s="15" t="n">
        <x:f>IF(COUNTA(A23:V23)=0,"",N(M23)/2+N(N23)/3+N(O23)+N(P23)*1.5+N(Q23)/5+N(R23)*2-N(I23)-N(K23)*0.5-N(L23))</x:f>
        <x:v>0</x:v>
      </x:c>
      <x:c r="X23" s="5"/>
    </x:row>
    <x:row r="24" ht="15">
      <x:c r="A24" s="4"/>
      <x:c r="B24" s="9" t="s">
        <x:v>176</x:v>
      </x:c>
      <x:c r="C24" s="9" t="s">
        <x:v>83</x:v>
      </x:c>
      <x:c r="D24" s="9" t="s">
        <x:v>104</x:v>
      </x:c>
      <x:c r="E24" s="9" t="s">
        <x:v>105</x:v>
      </x:c>
      <x:c r="F24" s="9" t="s">
        <x:v>85</x:v>
      </x:c>
      <x:c r="G24" s="9" t="s">
        <x:v>112</x:v>
      </x:c>
      <x:c r="H24" s="9" t="s">
        <x:v>169</x:v>
      </x:c>
      <x:c r="I24" s="13">
        <x:v>0</x:v>
      </x:c>
      <x:c r="J24" s="13">
        <x:v>1</x:v>
      </x:c>
      <x:c r="K24" s="13"/>
      <x:c r="L24" s="13"/>
      <x:c r="M24" s="13"/>
      <x:c r="N24" s="13"/>
      <x:c r="O24" s="13"/>
      <x:c r="P24" s="13"/>
      <x:c r="Q24" s="13"/>
      <x:c r="R24" s="13"/>
      <x:c r="S24" s="9" t="s">
        <x:v>177</x:v>
      </x:c>
      <x:c r="T24" s="9"/>
      <x:c r="U24" s="9" t="s">
        <x:v>178</x:v>
      </x:c>
      <x:c r="V24" s="24" t="s">
        <x:v>172</x:v>
      </x:c>
      <x:c r="W24" s="15" t="n">
        <x:f>IF(COUNTA(A24:V24)=0,"",N(M24)/2+N(N24)/3+N(O24)+N(P24)*1.5+N(Q24)/5+N(R24)*2-N(I24)-N(K24)*0.5-N(L24))</x:f>
        <x:v>0</x:v>
      </x:c>
      <x:c r="X24" s="5"/>
    </x:row>
    <x:row r="25" ht="15">
      <x:c r="A25" s="4"/>
      <x:c r="B25" s="24" t="s">
        <x:v>179</x:v>
      </x:c>
      <x:c r="C25" s="9" t="s">
        <x:v>83</x:v>
      </x:c>
      <x:c r="D25" s="9" t="s">
        <x:v>104</x:v>
      </x:c>
      <x:c r="E25" s="9" t="s">
        <x:v>105</x:v>
      </x:c>
      <x:c r="F25" s="9" t="s">
        <x:v>85</x:v>
      </x:c>
      <x:c r="G25" s="9" t="s">
        <x:v>153</x:v>
      </x:c>
      <x:c r="H25" s="9" t="s">
        <x:v>169</x:v>
      </x:c>
      <x:c r="I25" s="13">
        <x:v>2</x:v>
      </x:c>
      <x:c r="J25" s="13">
        <x:v>2</x:v>
      </x:c>
      <x:c r="K25" s="13"/>
      <x:c r="L25" s="13"/>
      <x:c r="M25" s="13"/>
      <x:c r="N25" s="13"/>
      <x:c r="O25" s="13"/>
      <x:c r="P25" s="13"/>
      <x:c r="Q25" s="13"/>
      <x:c r="R25" s="13"/>
      <x:c r="S25" s="25" t="s">
        <x:v>180</x:v>
      </x:c>
      <x:c r="T25" s="9"/>
      <x:c r="U25" s="9" t="s">
        <x:v>181</x:v>
      </x:c>
      <x:c r="V25" s="9" t="s">
        <x:v>172</x:v>
      </x:c>
      <x:c r="W25" s="15" t="n">
        <x:f>IF(COUNTA(A25:V25)=0,"",N(M25)/2+N(N25)/3+N(O25)+N(P25)*1.5+N(Q25)/5+N(R25)*2-N(I25)-N(K25)*0.5-N(L25))</x:f>
        <x:v>-2</x:v>
      </x:c>
      <x:c r="X25" s="5"/>
    </x:row>
    <x:row r="26" ht="30">
      <x:c r="A26" s="4"/>
      <x:c r="B26" s="9" t="s">
        <x:v>182</x:v>
      </x:c>
      <x:c r="C26" s="9" t="s">
        <x:v>83</x:v>
      </x:c>
      <x:c r="D26" s="9" t="s">
        <x:v>99</x:v>
      </x:c>
      <x:c r="E26" s="9" t="s">
        <x:v>99</x:v>
      </x:c>
      <x:c r="F26" s="9" t="s">
        <x:v>85</x:v>
      </x:c>
      <x:c r="G26" s="9" t="s">
        <x:v>112</x:v>
      </x:c>
      <x:c r="H26" s="9" t="s">
        <x:v>183</x:v>
      </x:c>
      <x:c r="I26" s="13">
        <x:v>2</x:v>
      </x:c>
      <x:c r="J26" s="13">
        <x:v>4</x:v>
      </x:c>
      <x:c r="K26" s="13"/>
      <x:c r="L26" s="13"/>
      <x:c r="M26" s="13"/>
      <x:c r="N26" s="13"/>
      <x:c r="O26" s="13"/>
      <x:c r="P26" s="13">
        <x:v>2</x:v>
      </x:c>
      <x:c r="Q26" s="13"/>
      <x:c r="R26" s="13"/>
      <x:c r="S26" s="25" t="s">
        <x:v>184</x:v>
      </x:c>
      <x:c r="T26" s="9"/>
      <x:c r="U26" s="24" t="s">
        <x:v>185</x:v>
      </x:c>
      <x:c r="V26" s="25" t="s">
        <x:v>186</x:v>
      </x:c>
      <x:c r="W26" s="15" t="n">
        <x:f>IF(COUNTA(A26:V26)=0,"",N(M26)/2+N(N26)/3+N(O26)+N(P26)*1.5+N(Q26)/5+N(R26)*2-N(I26)-N(K26)*0.5-N(L26))</x:f>
        <x:v>1</x:v>
      </x:c>
      <x:c r="X26" s="5"/>
    </x:row>
    <x:row r="27" ht="28.5">
      <x:c r="A27" s="4"/>
      <x:c r="B27" s="9" t="s">
        <x:v>187</x:v>
      </x:c>
      <x:c r="C27" s="9" t="s">
        <x:v>83</x:v>
      </x:c>
      <x:c r="D27" s="9" t="s">
        <x:v>99</x:v>
      </x:c>
      <x:c r="E27" s="9" t="s">
        <x:v>99</x:v>
      </x:c>
      <x:c r="F27" s="9" t="s">
        <x:v>85</x:v>
      </x:c>
      <x:c r="G27" s="9" t="s">
        <x:v>153</x:v>
      </x:c>
      <x:c r="H27" s="9" t="s">
        <x:v>183</x:v>
      </x:c>
      <x:c r="I27" s="13">
        <x:v>2</x:v>
      </x:c>
      <x:c r="J27" s="13">
        <x:v>2</x:v>
      </x:c>
      <x:c r="K27" s="13"/>
      <x:c r="L27" s="13"/>
      <x:c r="M27" s="13"/>
      <x:c r="N27" s="13"/>
      <x:c r="O27" s="13"/>
      <x:c r="P27" s="13">
        <x:v>4</x:v>
      </x:c>
      <x:c r="Q27" s="13"/>
      <x:c r="R27" s="13"/>
      <x:c r="S27" s="25" t="s">
        <x:v>188</x:v>
      </x:c>
      <x:c r="T27" s="9"/>
      <x:c r="U27" s="9" t="s">
        <x:v>189</x:v>
      </x:c>
      <x:c r="V27" s="9" t="s">
        <x:v>190</x:v>
      </x:c>
      <x:c r="W27" s="15" t="n">
        <x:f>IF(COUNTA(A27:V27)=0,"",N(M27)/2+N(N27)/3+N(O27)+N(P27)*1.5+N(Q27)/5+N(R27)*2-N(I27)-N(K27)*0.5-N(L27))</x:f>
        <x:v>4</x:v>
      </x:c>
      <x:c r="X27" s="5"/>
    </x:row>
    <x:row r="28">
      <x:c r="A28" s="4"/>
      <x:c r="B28" s="9"/>
      <x:c r="C28" s="9"/>
      <x:c r="D28" s="9"/>
      <x:c r="E28" s="9"/>
      <x:c r="F28" s="9"/>
      <x:c r="G28" s="9"/>
      <x:c r="H28" s="9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9"/>
      <x:c r="T28" s="9"/>
      <x:c r="U28" s="9"/>
      <x:c r="V28" s="9"/>
      <x:c r="W28" s="15" t="str">
        <x:f>IF(COUNTA(A28:V28)=0,"",N(M28)/2+N(N28)/3+N(O28)+N(P28)*1.5+N(Q28)/5+N(R28)*2-N(I28)-N(K28)*0.5-N(L28))</x:f>
      </x:c>
      <x:c r="X28" s="5"/>
    </x:row>
    <x:row r="29">
      <x:c r="A29" s="4"/>
      <x:c r="B29" s="9"/>
      <x:c r="C29" s="9"/>
      <x:c r="D29" s="9"/>
      <x:c r="E29" s="9"/>
      <x:c r="F29" s="9"/>
      <x:c r="G29" s="9"/>
      <x:c r="H29" s="9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9"/>
      <x:c r="T29" s="9"/>
      <x:c r="U29" s="9"/>
      <x:c r="V29" s="9"/>
      <x:c r="W29" s="15" t="str">
        <x:f>IF(COUNTA(A29:V29)=0,"",N(M29)/2+N(N29)/3+N(O29)+N(P29)*1.5+N(Q29)/5+N(R29)*2-N(I29)-N(K29)*0.5-N(L29))</x:f>
      </x:c>
      <x:c r="X29" s="5"/>
    </x:row>
    <x:row r="30">
      <x:c r="A30" s="4"/>
      <x:c r="B30" s="9"/>
      <x:c r="C30" s="9"/>
      <x:c r="D30" s="9"/>
      <x:c r="E30" s="9"/>
      <x:c r="F30" s="9"/>
      <x:c r="G30" s="9"/>
      <x:c r="H30" s="9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9"/>
      <x:c r="T30" s="9"/>
      <x:c r="U30" s="9"/>
      <x:c r="V30" s="9"/>
      <x:c r="W30" s="15" t="str">
        <x:f>IF(COUNTA(A30:V30)=0,"",N(M30)/2+N(N30)/3+N(O30)+N(P30)*1.5+N(Q30)/5+N(R30)*2-N(I30)-N(K30)*0.5-N(L30))</x:f>
      </x:c>
      <x:c r="X30" s="5"/>
    </x:row>
    <x:row r="31">
      <x:c r="A31" s="4"/>
      <x:c r="B31" s="9"/>
      <x:c r="C31" s="9"/>
      <x:c r="D31" s="9"/>
      <x:c r="E31" s="9"/>
      <x:c r="F31" s="9"/>
      <x:c r="G31" s="9"/>
      <x:c r="H31" s="9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9"/>
      <x:c r="T31" s="9"/>
      <x:c r="U31" s="9"/>
      <x:c r="V31" s="9"/>
      <x:c r="W31" s="15" t="str">
        <x:f>IF(COUNTA(A31:V31)=0,"",N(M31)/2+N(N31)/3+N(O31)+N(P31)*1.5+N(Q31)/5+N(R31)*2-N(I31)-N(K31)*0.5-N(L31))</x:f>
      </x:c>
      <x:c r="X31" s="5"/>
    </x:row>
    <x:row r="32">
      <x:c r="A32" s="4"/>
      <x:c r="B32" s="9"/>
      <x:c r="C32" s="9"/>
      <x:c r="D32" s="9"/>
      <x:c r="E32" s="9"/>
      <x:c r="F32" s="9"/>
      <x:c r="G32" s="9"/>
      <x:c r="H32" s="9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9"/>
      <x:c r="T32" s="9"/>
      <x:c r="U32" s="9"/>
      <x:c r="V32" s="9"/>
      <x:c r="W32" s="15" t="str">
        <x:f>IF(COUNTA(A32:V32)=0,"",N(M32)/2+N(N32)/3+N(O32)+N(P32)*1.5+N(Q32)/5+N(R32)*2-N(I32)-N(K32)*0.5-N(L32))</x:f>
      </x:c>
      <x:c r="X32" s="5"/>
    </x:row>
    <x:row r="33">
      <x:c r="A33" s="4"/>
      <x:c r="B33" s="9"/>
      <x:c r="C33" s="9"/>
      <x:c r="D33" s="9"/>
      <x:c r="E33" s="9"/>
      <x:c r="F33" s="9"/>
      <x:c r="G33" s="9"/>
      <x:c r="H33" s="9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9"/>
      <x:c r="T33" s="9"/>
      <x:c r="U33" s="9"/>
      <x:c r="V33" s="9"/>
      <x:c r="W33" s="15" t="str">
        <x:f>IF(COUNTA(A33:V33)=0,"",N(M33)/2+N(N33)/3+N(O33)+N(P33)*1.5+N(Q33)/5+N(R33)*2-N(I33)-N(K33)*0.5-N(L33))</x:f>
      </x:c>
      <x:c r="X33" s="5"/>
    </x:row>
    <x:row r="34">
      <x:c r="A34" s="4"/>
      <x:c r="B34" s="9"/>
      <x:c r="C34" s="9"/>
      <x:c r="D34" s="9"/>
      <x:c r="E34" s="9"/>
      <x:c r="F34" s="9"/>
      <x:c r="G34" s="9"/>
      <x:c r="H34" s="9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9"/>
      <x:c r="T34" s="9"/>
      <x:c r="U34" s="9"/>
      <x:c r="V34" s="9"/>
      <x:c r="W34" s="15" t="str">
        <x:f>IF(COUNTA(A34:V34)=0,"",N(M34)/2+N(N34)/3+N(O34)+N(P34)*1.5+N(Q34)/5+N(R34)*2-N(I34)-N(K34)*0.5-N(L34))</x:f>
      </x:c>
      <x:c r="X34" s="5"/>
    </x:row>
    <x:row r="35">
      <x:c r="A35" s="4"/>
      <x:c r="B35" s="9"/>
      <x:c r="C35" s="9"/>
      <x:c r="D35" s="9"/>
      <x:c r="E35" s="9"/>
      <x:c r="F35" s="9"/>
      <x:c r="G35" s="9"/>
      <x:c r="H35" s="9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9"/>
      <x:c r="T35" s="9"/>
      <x:c r="U35" s="9"/>
      <x:c r="V35" s="9"/>
      <x:c r="W35" s="16" t="str">
        <x:f t="shared" ref="W35:W39" si="0">IF(COUNTA(A35:V35)=0,"",N(M35)/2+N(N35)/3+N(O35)+N(P35)*1.5+N(Q35)/5+N(R35)*2-N(I35)-N(K35)*0.5-N(L35))</x:f>
      </x:c>
      <x:c r="X35" s="5"/>
    </x:row>
    <x:row r="36">
      <x:c r="A36" s="4"/>
      <x:c r="B36" s="9"/>
      <x:c r="C36" s="9"/>
      <x:c r="D36" s="9"/>
      <x:c r="E36" s="9"/>
      <x:c r="F36" s="9"/>
      <x:c r="G36" s="9"/>
      <x:c r="H36" s="9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9"/>
      <x:c r="T36" s="9"/>
      <x:c r="U36" s="9"/>
      <x:c r="V36" s="9"/>
      <x:c r="W36" s="16" t="str">
        <x:f t="shared" si="0">IF(COUNTA(A36:V36)=0,"",N(M36)/2+N(N36)/3+N(O36)+N(P36)*1.5+N(Q36)/5+N(R36)*2-N(I36)-N(K36)*0.5-N(L36))</x:f>
      </x:c>
      <x:c r="X36" s="5"/>
    </x:row>
    <x:row r="37">
      <x:c r="A37" s="4"/>
      <x:c r="B37" s="9"/>
      <x:c r="C37" s="9"/>
      <x:c r="D37" s="9"/>
      <x:c r="E37" s="9"/>
      <x:c r="F37" s="9"/>
      <x:c r="G37" s="9"/>
      <x:c r="H37" s="9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9"/>
      <x:c r="T37" s="9"/>
      <x:c r="U37" s="9"/>
      <x:c r="V37" s="9"/>
      <x:c r="W37" s="16" t="str">
        <x:f t="shared" si="0">IF(COUNTA(A37:V37)=0,"",N(M37)/2+N(N37)/3+N(O37)+N(P37)*1.5+N(Q37)/5+N(R37)*2-N(I37)-N(K37)*0.5-N(L37))</x:f>
      </x:c>
      <x:c r="X37" s="5"/>
    </x:row>
    <x:row r="38">
      <x:c r="A38" s="4"/>
      <x:c r="B38" s="9"/>
      <x:c r="C38" s="9"/>
      <x:c r="D38" s="9"/>
      <x:c r="E38" s="9"/>
      <x:c r="F38" s="9"/>
      <x:c r="G38" s="9"/>
      <x:c r="H38" s="9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9"/>
      <x:c r="T38" s="9"/>
      <x:c r="U38" s="9"/>
      <x:c r="V38" s="9"/>
      <x:c r="W38" s="16" t="str">
        <x:f t="shared" si="0">IF(COUNTA(A38:V38)=0,"",N(M38)/2+N(N38)/3+N(O38)+N(P38)*1.5+N(Q38)/5+N(R38)*2-N(I38)-N(K38)*0.5-N(L38))</x:f>
      </x:c>
      <x:c r="X38" s="5"/>
    </x:row>
    <x:row r="39">
      <x:c r="A39" s="4"/>
      <x:c r="B39" s="9"/>
      <x:c r="C39" s="9"/>
      <x:c r="D39" s="9"/>
      <x:c r="E39" s="9"/>
      <x:c r="F39" s="9"/>
      <x:c r="G39" s="9"/>
      <x:c r="H39" s="9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9"/>
      <x:c r="T39" s="9"/>
      <x:c r="U39" s="9"/>
      <x:c r="V39" s="9"/>
      <x:c r="W39" s="16" t="str">
        <x:f t="shared" si="0">IF(COUNTA(A39:V39)=0,"",N(M39)/2+N(N39)/3+N(O39)+N(P39)*1.5+N(Q39)/5+N(R39)*2-N(I39)-N(K39)*0.5-N(L39))</x:f>
      </x:c>
      <x:c r="X39" s="5"/>
    </x:row>
    <x:row r="40">
      <x:c r="A40" s="4"/>
      <x:c r="B40" s="9"/>
      <x:c r="C40" s="9"/>
      <x:c r="D40" s="9"/>
      <x:c r="E40" s="9"/>
      <x:c r="F40" s="9"/>
      <x:c r="G40" s="9"/>
      <x:c r="H40" s="9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9"/>
      <x:c r="T40" s="9"/>
      <x:c r="U40" s="9"/>
      <x:c r="V40" s="9"/>
      <x:c r="W40" s="16" t="str">
        <x:f t="shared" ref="W40:W71" si="1">IF(COUNTA(A40:V40)=0,"",N(M40)/2+N(N40)/3+N(O40)+N(P40)*1.5+N(Q40)/5+N(R40)*2-N(I40)-N(K40)*0.5-N(L40))</x:f>
      </x:c>
      <x:c r="X40" s="5"/>
    </x:row>
    <x:row r="41">
      <x:c r="A41" s="4"/>
      <x:c r="B41" s="9"/>
      <x:c r="C41" s="9"/>
      <x:c r="D41" s="9"/>
      <x:c r="E41" s="9"/>
      <x:c r="F41" s="9"/>
      <x:c r="G41" s="9"/>
      <x:c r="H41" s="9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9"/>
      <x:c r="T41" s="9"/>
      <x:c r="U41" s="9"/>
      <x:c r="V41" s="9"/>
      <x:c r="W41" s="16" t="str">
        <x:f t="shared" si="1">IF(COUNTA(A41:V41)=0,"",N(M41)/2+N(N41)/3+N(O41)+N(P41)*1.5+N(Q41)/5+N(R41)*2-N(I41)-N(K41)*0.5-N(L41))</x:f>
      </x:c>
      <x:c r="X41" s="5"/>
    </x:row>
    <x:row r="42">
      <x:c r="A42" s="4"/>
      <x:c r="B42" s="9"/>
      <x:c r="C42" s="9"/>
      <x:c r="D42" s="9"/>
      <x:c r="E42" s="9"/>
      <x:c r="F42" s="9"/>
      <x:c r="G42" s="9"/>
      <x:c r="H42" s="9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9"/>
      <x:c r="T42" s="9"/>
      <x:c r="U42" s="9"/>
      <x:c r="V42" s="9"/>
      <x:c r="W42" s="16" t="str">
        <x:f t="shared" si="1">IF(COUNTA(A42:V42)=0,"",N(M42)/2+N(N42)/3+N(O42)+N(P42)*1.5+N(Q42)/5+N(R42)*2-N(I42)-N(K42)*0.5-N(L42))</x:f>
      </x:c>
      <x:c r="X42" s="5"/>
    </x:row>
    <x:row r="43">
      <x:c r="A43" s="4"/>
      <x:c r="B43" s="9"/>
      <x:c r="C43" s="9"/>
      <x:c r="D43" s="9"/>
      <x:c r="E43" s="9"/>
      <x:c r="F43" s="9"/>
      <x:c r="G43" s="9"/>
      <x:c r="H43" s="9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9"/>
      <x:c r="T43" s="9"/>
      <x:c r="U43" s="9"/>
      <x:c r="V43" s="9"/>
      <x:c r="W43" s="16" t="str">
        <x:f t="shared" si="1">IF(COUNTA(A43:V43)=0,"",N(M43)/2+N(N43)/3+N(O43)+N(P43)*1.5+N(Q43)/5+N(R43)*2-N(I43)-N(K43)*0.5-N(L43))</x:f>
      </x:c>
      <x:c r="X43" s="5"/>
    </x:row>
    <x:row r="44">
      <x:c r="A44" s="4"/>
      <x:c r="B44" s="9"/>
      <x:c r="C44" s="9"/>
      <x:c r="D44" s="9"/>
      <x:c r="E44" s="9"/>
      <x:c r="F44" s="9"/>
      <x:c r="G44" s="9"/>
      <x:c r="H44" s="9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9"/>
      <x:c r="T44" s="9"/>
      <x:c r="U44" s="9"/>
      <x:c r="V44" s="9"/>
      <x:c r="W44" s="16" t="str">
        <x:f t="shared" si="1">IF(COUNTA(A44:V44)=0,"",N(M44)/2+N(N44)/3+N(O44)+N(P44)*1.5+N(Q44)/5+N(R44)*2-N(I44)-N(K44)*0.5-N(L44))</x:f>
      </x:c>
      <x:c r="X44" s="5"/>
    </x:row>
    <x:row r="45">
      <x:c r="A45" s="4"/>
      <x:c r="B45" s="9"/>
      <x:c r="C45" s="9"/>
      <x:c r="D45" s="9"/>
      <x:c r="E45" s="9"/>
      <x:c r="F45" s="9"/>
      <x:c r="G45" s="9"/>
      <x:c r="H45" s="9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9"/>
      <x:c r="T45" s="9"/>
      <x:c r="U45" s="9"/>
      <x:c r="V45" s="9"/>
      <x:c r="W45" s="16" t="str">
        <x:f t="shared" si="1">IF(COUNTA(A45:V45)=0,"",N(M45)/2+N(N45)/3+N(O45)+N(P45)*1.5+N(Q45)/5+N(R45)*2-N(I45)-N(K45)*0.5-N(L45))</x:f>
      </x:c>
      <x:c r="X45" s="5"/>
    </x:row>
    <x:row r="46">
      <x:c r="A46" s="4"/>
      <x:c r="B46" s="9"/>
      <x:c r="C46" s="9"/>
      <x:c r="D46" s="9"/>
      <x:c r="E46" s="9"/>
      <x:c r="F46" s="9"/>
      <x:c r="G46" s="9"/>
      <x:c r="H46" s="9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9"/>
      <x:c r="T46" s="9"/>
      <x:c r="U46" s="9"/>
      <x:c r="V46" s="9"/>
      <x:c r="W46" s="16" t="str">
        <x:f t="shared" si="1">IF(COUNTA(A46:V46)=0,"",N(M46)/2+N(N46)/3+N(O46)+N(P46)*1.5+N(Q46)/5+N(R46)*2-N(I46)-N(K46)*0.5-N(L46))</x:f>
      </x:c>
      <x:c r="X46" s="5"/>
    </x:row>
    <x:row r="47">
      <x:c r="A47" s="4"/>
      <x:c r="B47" s="9"/>
      <x:c r="C47" s="9"/>
      <x:c r="D47" s="9"/>
      <x:c r="E47" s="9"/>
      <x:c r="F47" s="9"/>
      <x:c r="G47" s="9"/>
      <x:c r="H47" s="9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9"/>
      <x:c r="T47" s="9"/>
      <x:c r="U47" s="9"/>
      <x:c r="V47" s="9"/>
      <x:c r="W47" s="16" t="str">
        <x:f t="shared" si="1">IF(COUNTA(A47:V47)=0,"",N(M47)/2+N(N47)/3+N(O47)+N(P47)*1.5+N(Q47)/5+N(R47)*2-N(I47)-N(K47)*0.5-N(L47))</x:f>
      </x:c>
      <x:c r="X47" s="5"/>
    </x:row>
    <x:row r="48">
      <x:c r="A48" s="4"/>
      <x:c r="B48" s="9"/>
      <x:c r="C48" s="9"/>
      <x:c r="D48" s="9"/>
      <x:c r="E48" s="9"/>
      <x:c r="F48" s="9"/>
      <x:c r="G48" s="9"/>
      <x:c r="H48" s="9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9"/>
      <x:c r="T48" s="9"/>
      <x:c r="U48" s="9"/>
      <x:c r="V48" s="9"/>
      <x:c r="W48" s="16" t="str">
        <x:f t="shared" si="1">IF(COUNTA(A48:V48)=0,"",N(M48)/2+N(N48)/3+N(O48)+N(P48)*1.5+N(Q48)/5+N(R48)*2-N(I48)-N(K48)*0.5-N(L48))</x:f>
      </x:c>
      <x:c r="X48" s="5"/>
    </x:row>
    <x:row r="49">
      <x:c r="A49" s="4"/>
      <x:c r="B49" s="9"/>
      <x:c r="C49" s="9"/>
      <x:c r="D49" s="9"/>
      <x:c r="E49" s="9"/>
      <x:c r="F49" s="9"/>
      <x:c r="G49" s="9"/>
      <x:c r="H49" s="9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9"/>
      <x:c r="T49" s="9"/>
      <x:c r="U49" s="9"/>
      <x:c r="V49" s="9"/>
      <x:c r="W49" s="16" t="str">
        <x:f t="shared" si="1">IF(COUNTA(A49:V49)=0,"",N(M49)/2+N(N49)/3+N(O49)+N(P49)*1.5+N(Q49)/5+N(R49)*2-N(I49)-N(K49)*0.5-N(L49))</x:f>
      </x:c>
      <x:c r="X49" s="5"/>
    </x:row>
    <x:row r="50">
      <x:c r="A50" s="4"/>
      <x:c r="B50" s="9"/>
      <x:c r="C50" s="9"/>
      <x:c r="D50" s="9"/>
      <x:c r="E50" s="9"/>
      <x:c r="F50" s="9"/>
      <x:c r="G50" s="9"/>
      <x:c r="H50" s="9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9"/>
      <x:c r="T50" s="9"/>
      <x:c r="U50" s="9"/>
      <x:c r="V50" s="9"/>
      <x:c r="W50" s="16" t="str">
        <x:f t="shared" si="1">IF(COUNTA(A50:V50)=0,"",N(M50)/2+N(N50)/3+N(O50)+N(P50)*1.5+N(Q50)/5+N(R50)*2-N(I50)-N(K50)*0.5-N(L50))</x:f>
      </x:c>
      <x:c r="X50" s="5"/>
    </x:row>
    <x:row r="51">
      <x:c r="A51" s="4"/>
      <x:c r="B51" s="9"/>
      <x:c r="C51" s="9"/>
      <x:c r="D51" s="9"/>
      <x:c r="E51" s="9"/>
      <x:c r="F51" s="9"/>
      <x:c r="G51" s="9"/>
      <x:c r="H51" s="9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9"/>
      <x:c r="T51" s="9"/>
      <x:c r="U51" s="9"/>
      <x:c r="V51" s="9"/>
      <x:c r="W51" s="16" t="str">
        <x:f t="shared" si="1">IF(COUNTA(A51:V51)=0,"",N(M51)/2+N(N51)/3+N(O51)+N(P51)*1.5+N(Q51)/5+N(R51)*2-N(I51)-N(K51)*0.5-N(L51))</x:f>
      </x:c>
      <x:c r="X51" s="5"/>
    </x:row>
    <x:row r="52">
      <x:c r="A52" s="4"/>
      <x:c r="B52" s="9"/>
      <x:c r="C52" s="9"/>
      <x:c r="D52" s="9"/>
      <x:c r="E52" s="9"/>
      <x:c r="F52" s="9"/>
      <x:c r="G52" s="9"/>
      <x:c r="H52" s="9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9"/>
      <x:c r="T52" s="9"/>
      <x:c r="U52" s="9"/>
      <x:c r="V52" s="9"/>
      <x:c r="W52" s="16" t="str">
        <x:f t="shared" si="1">IF(COUNTA(A52:V52)=0,"",N(M52)/2+N(N52)/3+N(O52)+N(P52)*1.5+N(Q52)/5+N(R52)*2-N(I52)-N(K52)*0.5-N(L52))</x:f>
      </x:c>
      <x:c r="X52" s="5"/>
    </x:row>
    <x:row r="53">
      <x:c r="A53" s="4"/>
      <x:c r="B53" s="9"/>
      <x:c r="C53" s="9"/>
      <x:c r="D53" s="9"/>
      <x:c r="E53" s="9"/>
      <x:c r="F53" s="9"/>
      <x:c r="G53" s="9"/>
      <x:c r="H53" s="9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9"/>
      <x:c r="T53" s="9"/>
      <x:c r="U53" s="9"/>
      <x:c r="V53" s="9"/>
      <x:c r="W53" s="16" t="str">
        <x:f t="shared" si="1">IF(COUNTA(A53:V53)=0,"",N(M53)/2+N(N53)/3+N(O53)+N(P53)*1.5+N(Q53)/5+N(R53)*2-N(I53)-N(K53)*0.5-N(L53))</x:f>
      </x:c>
      <x:c r="X53" s="5"/>
    </x:row>
    <x:row r="54">
      <x:c r="A54" s="4"/>
      <x:c r="B54" s="9"/>
      <x:c r="C54" s="9"/>
      <x:c r="D54" s="9"/>
      <x:c r="E54" s="9"/>
      <x:c r="F54" s="9"/>
      <x:c r="G54" s="9"/>
      <x:c r="H54" s="9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9"/>
      <x:c r="T54" s="9"/>
      <x:c r="U54" s="9"/>
      <x:c r="V54" s="9"/>
      <x:c r="W54" s="16" t="str">
        <x:f t="shared" si="1">IF(COUNTA(A54:V54)=0,"",N(M54)/2+N(N54)/3+N(O54)+N(P54)*1.5+N(Q54)/5+N(R54)*2-N(I54)-N(K54)*0.5-N(L54))</x:f>
      </x:c>
      <x:c r="X54" s="5"/>
    </x:row>
    <x:row r="55">
      <x:c r="A55" s="4"/>
      <x:c r="B55" s="9"/>
      <x:c r="C55" s="9"/>
      <x:c r="D55" s="9"/>
      <x:c r="E55" s="9"/>
      <x:c r="F55" s="9"/>
      <x:c r="G55" s="9"/>
      <x:c r="H55" s="9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9"/>
      <x:c r="T55" s="9"/>
      <x:c r="U55" s="9"/>
      <x:c r="V55" s="9"/>
      <x:c r="W55" s="16" t="str">
        <x:f t="shared" si="1">IF(COUNTA(A55:V55)=0,"",N(M55)/2+N(N55)/3+N(O55)+N(P55)*1.5+N(Q55)/5+N(R55)*2-N(I55)-N(K55)*0.5-N(L55))</x:f>
      </x:c>
      <x:c r="X55" s="5"/>
    </x:row>
    <x:row r="56">
      <x:c r="A56" s="4"/>
      <x:c r="B56" s="9"/>
      <x:c r="C56" s="9"/>
      <x:c r="D56" s="9"/>
      <x:c r="E56" s="9"/>
      <x:c r="F56" s="9"/>
      <x:c r="G56" s="9"/>
      <x:c r="H56" s="9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9"/>
      <x:c r="T56" s="9"/>
      <x:c r="U56" s="9"/>
      <x:c r="V56" s="9"/>
      <x:c r="W56" s="16" t="str">
        <x:f t="shared" si="1">IF(COUNTA(A56:V56)=0,"",N(M56)/2+N(N56)/3+N(O56)+N(P56)*1.5+N(Q56)/5+N(R56)*2-N(I56)-N(K56)*0.5-N(L56))</x:f>
      </x:c>
      <x:c r="X56" s="5"/>
    </x:row>
    <x:row r="57">
      <x:c r="A57" s="4"/>
      <x:c r="B57" s="9"/>
      <x:c r="C57" s="9"/>
      <x:c r="D57" s="9"/>
      <x:c r="E57" s="9"/>
      <x:c r="F57" s="9"/>
      <x:c r="G57" s="9"/>
      <x:c r="H57" s="9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9"/>
      <x:c r="T57" s="9"/>
      <x:c r="U57" s="9"/>
      <x:c r="V57" s="9"/>
      <x:c r="W57" s="16" t="str">
        <x:f t="shared" si="1">IF(COUNTA(A57:V57)=0,"",N(M57)/2+N(N57)/3+N(O57)+N(P57)*1.5+N(Q57)/5+N(R57)*2-N(I57)-N(K57)*0.5-N(L57))</x:f>
      </x:c>
      <x:c r="X57" s="5"/>
    </x:row>
    <x:row r="58">
      <x:c r="A58" s="4"/>
      <x:c r="B58" s="9"/>
      <x:c r="C58" s="9"/>
      <x:c r="D58" s="9"/>
      <x:c r="E58" s="9"/>
      <x:c r="F58" s="9"/>
      <x:c r="G58" s="9"/>
      <x:c r="H58" s="9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9"/>
      <x:c r="T58" s="9"/>
      <x:c r="U58" s="9"/>
      <x:c r="V58" s="9"/>
      <x:c r="W58" s="16" t="str">
        <x:f t="shared" si="1">IF(COUNTA(A58:V58)=0,"",N(M58)/2+N(N58)/3+N(O58)+N(P58)*1.5+N(Q58)/5+N(R58)*2-N(I58)-N(K58)*0.5-N(L58))</x:f>
      </x:c>
      <x:c r="X58" s="5"/>
    </x:row>
    <x:row r="59">
      <x:c r="A59" s="4"/>
      <x:c r="B59" s="9"/>
      <x:c r="C59" s="9"/>
      <x:c r="D59" s="9"/>
      <x:c r="E59" s="9"/>
      <x:c r="F59" s="9"/>
      <x:c r="G59" s="9"/>
      <x:c r="H59" s="9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9"/>
      <x:c r="T59" s="9"/>
      <x:c r="U59" s="9"/>
      <x:c r="V59" s="9"/>
      <x:c r="W59" s="16" t="str">
        <x:f t="shared" si="1">IF(COUNTA(A59:V59)=0,"",N(M59)/2+N(N59)/3+N(O59)+N(P59)*1.5+N(Q59)/5+N(R59)*2-N(I59)-N(K59)*0.5-N(L59))</x:f>
      </x:c>
      <x:c r="X59" s="5"/>
    </x:row>
    <x:row r="60">
      <x:c r="A60" s="4"/>
      <x:c r="B60" s="9"/>
      <x:c r="C60" s="9"/>
      <x:c r="D60" s="9"/>
      <x:c r="E60" s="9"/>
      <x:c r="F60" s="9"/>
      <x:c r="G60" s="9"/>
      <x:c r="H60" s="9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9"/>
      <x:c r="T60" s="9"/>
      <x:c r="U60" s="9"/>
      <x:c r="V60" s="9"/>
      <x:c r="W60" s="16" t="str">
        <x:f t="shared" si="1">IF(COUNTA(A60:V60)=0,"",N(M60)/2+N(N60)/3+N(O60)+N(P60)*1.5+N(Q60)/5+N(R60)*2-N(I60)-N(K60)*0.5-N(L60))</x:f>
      </x:c>
      <x:c r="X60" s="5"/>
    </x:row>
    <x:row r="61">
      <x:c r="A61" s="4"/>
      <x:c r="B61" s="9"/>
      <x:c r="C61" s="9"/>
      <x:c r="D61" s="9"/>
      <x:c r="E61" s="9"/>
      <x:c r="F61" s="9"/>
      <x:c r="G61" s="9"/>
      <x:c r="H61" s="9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9"/>
      <x:c r="T61" s="9"/>
      <x:c r="U61" s="9"/>
      <x:c r="V61" s="9"/>
      <x:c r="W61" s="16" t="str">
        <x:f t="shared" si="1">IF(COUNTA(A61:V61)=0,"",N(M61)/2+N(N61)/3+N(O61)+N(P61)*1.5+N(Q61)/5+N(R61)*2-N(I61)-N(K61)*0.5-N(L61))</x:f>
      </x:c>
      <x:c r="X61" s="5"/>
    </x:row>
    <x:row r="62">
      <x:c r="A62" s="4"/>
      <x:c r="B62" s="9"/>
      <x:c r="C62" s="9"/>
      <x:c r="D62" s="9"/>
      <x:c r="E62" s="9"/>
      <x:c r="F62" s="9"/>
      <x:c r="G62" s="9"/>
      <x:c r="H62" s="9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9"/>
      <x:c r="T62" s="9"/>
      <x:c r="U62" s="9"/>
      <x:c r="V62" s="9"/>
      <x:c r="W62" s="16" t="str">
        <x:f t="shared" si="1">IF(COUNTA(A62:V62)=0,"",N(M62)/2+N(N62)/3+N(O62)+N(P62)*1.5+N(Q62)/5+N(R62)*2-N(I62)-N(K62)*0.5-N(L62))</x:f>
      </x:c>
      <x:c r="X62" s="5"/>
    </x:row>
    <x:row r="63">
      <x:c r="A63" s="4"/>
      <x:c r="B63" s="9"/>
      <x:c r="C63" s="9"/>
      <x:c r="D63" s="9"/>
      <x:c r="E63" s="9"/>
      <x:c r="F63" s="9"/>
      <x:c r="G63" s="9"/>
      <x:c r="H63" s="9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9"/>
      <x:c r="T63" s="9"/>
      <x:c r="U63" s="9"/>
      <x:c r="V63" s="9"/>
      <x:c r="W63" s="16" t="str">
        <x:f t="shared" si="1">IF(COUNTA(A63:V63)=0,"",N(M63)/2+N(N63)/3+N(O63)+N(P63)*1.5+N(Q63)/5+N(R63)*2-N(I63)-N(K63)*0.5-N(L63))</x:f>
      </x:c>
      <x:c r="X63" s="5"/>
    </x:row>
    <x:row r="64">
      <x:c r="A64" s="4"/>
      <x:c r="B64" s="9"/>
      <x:c r="C64" s="9"/>
      <x:c r="D64" s="9"/>
      <x:c r="E64" s="9"/>
      <x:c r="F64" s="9"/>
      <x:c r="G64" s="9"/>
      <x:c r="H64" s="9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9"/>
      <x:c r="T64" s="9"/>
      <x:c r="U64" s="9"/>
      <x:c r="V64" s="9"/>
      <x:c r="W64" s="16" t="str">
        <x:f t="shared" si="1">IF(COUNTA(A64:V64)=0,"",N(M64)/2+N(N64)/3+N(O64)+N(P64)*1.5+N(Q64)/5+N(R64)*2-N(I64)-N(K64)*0.5-N(L64))</x:f>
      </x:c>
      <x:c r="X64" s="5"/>
    </x:row>
    <x:row r="65">
      <x:c r="A65" s="4"/>
      <x:c r="B65" s="9"/>
      <x:c r="C65" s="9"/>
      <x:c r="D65" s="9"/>
      <x:c r="E65" s="9"/>
      <x:c r="F65" s="9"/>
      <x:c r="G65" s="9"/>
      <x:c r="H65" s="9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9"/>
      <x:c r="T65" s="9"/>
      <x:c r="U65" s="9"/>
      <x:c r="V65" s="9"/>
      <x:c r="W65" s="16" t="str">
        <x:f t="shared" si="1">IF(COUNTA(A65:V65)=0,"",N(M65)/2+N(N65)/3+N(O65)+N(P65)*1.5+N(Q65)/5+N(R65)*2-N(I65)-N(K65)*0.5-N(L65))</x:f>
      </x:c>
      <x:c r="X65" s="5"/>
    </x:row>
    <x:row r="66">
      <x:c r="A66" s="4"/>
      <x:c r="B66" s="9"/>
      <x:c r="C66" s="9"/>
      <x:c r="D66" s="9"/>
      <x:c r="E66" s="9"/>
      <x:c r="F66" s="9"/>
      <x:c r="G66" s="9"/>
      <x:c r="H66" s="9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9"/>
      <x:c r="T66" s="9"/>
      <x:c r="U66" s="9"/>
      <x:c r="V66" s="9"/>
      <x:c r="W66" s="16" t="str">
        <x:f t="shared" si="1">IF(COUNTA(A66:V66)=0,"",N(M66)/2+N(N66)/3+N(O66)+N(P66)*1.5+N(Q66)/5+N(R66)*2-N(I66)-N(K66)*0.5-N(L66))</x:f>
      </x:c>
      <x:c r="X66" s="5"/>
    </x:row>
    <x:row r="67">
      <x:c r="A67" s="4"/>
      <x:c r="B67" s="9"/>
      <x:c r="C67" s="9"/>
      <x:c r="D67" s="9"/>
      <x:c r="E67" s="9"/>
      <x:c r="F67" s="9"/>
      <x:c r="G67" s="9"/>
      <x:c r="H67" s="9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9"/>
      <x:c r="T67" s="9"/>
      <x:c r="U67" s="9"/>
      <x:c r="V67" s="9"/>
      <x:c r="W67" s="16" t="str">
        <x:f t="shared" si="1">IF(COUNTA(A67:V67)=0,"",N(M67)/2+N(N67)/3+N(O67)+N(P67)*1.5+N(Q67)/5+N(R67)*2-N(I67)-N(K67)*0.5-N(L67))</x:f>
      </x:c>
      <x:c r="X67" s="5"/>
    </x:row>
    <x:row r="68">
      <x:c r="A68" s="4"/>
      <x:c r="B68" s="9"/>
      <x:c r="C68" s="9"/>
      <x:c r="D68" s="9"/>
      <x:c r="E68" s="9"/>
      <x:c r="F68" s="9"/>
      <x:c r="G68" s="9"/>
      <x:c r="H68" s="9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9"/>
      <x:c r="T68" s="9"/>
      <x:c r="U68" s="9"/>
      <x:c r="V68" s="9"/>
      <x:c r="W68" s="16" t="str">
        <x:f t="shared" si="1">IF(COUNTA(A68:V68)=0,"",N(M68)/2+N(N68)/3+N(O68)+N(P68)*1.5+N(Q68)/5+N(R68)*2-N(I68)-N(K68)*0.5-N(L68))</x:f>
      </x:c>
      <x:c r="X68" s="5"/>
    </x:row>
    <x:row r="69">
      <x:c r="A69" s="4"/>
      <x:c r="B69" s="9"/>
      <x:c r="C69" s="9"/>
      <x:c r="D69" s="9"/>
      <x:c r="E69" s="9"/>
      <x:c r="F69" s="9"/>
      <x:c r="G69" s="9"/>
      <x:c r="H69" s="9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9"/>
      <x:c r="T69" s="9"/>
      <x:c r="U69" s="9"/>
      <x:c r="V69" s="9"/>
      <x:c r="W69" s="16" t="str">
        <x:f t="shared" si="1">IF(COUNTA(A69:V69)=0,"",N(M69)/2+N(N69)/3+N(O69)+N(P69)*1.5+N(Q69)/5+N(R69)*2-N(I69)-N(K69)*0.5-N(L69))</x:f>
      </x:c>
      <x:c r="X69" s="5"/>
    </x:row>
    <x:row r="70">
      <x:c r="A70" s="4"/>
      <x:c r="B70" s="9"/>
      <x:c r="C70" s="9"/>
      <x:c r="D70" s="9"/>
      <x:c r="E70" s="9"/>
      <x:c r="F70" s="9"/>
      <x:c r="G70" s="9"/>
      <x:c r="H70" s="9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9"/>
      <x:c r="T70" s="9"/>
      <x:c r="U70" s="9"/>
      <x:c r="V70" s="9"/>
      <x:c r="W70" s="16" t="str">
        <x:f t="shared" si="1">IF(COUNTA(A70:V70)=0,"",N(M70)/2+N(N70)/3+N(O70)+N(P70)*1.5+N(Q70)/5+N(R70)*2-N(I70)-N(K70)*0.5-N(L70))</x:f>
      </x:c>
      <x:c r="X70" s="5"/>
    </x:row>
    <x:row r="71">
      <x:c r="A71" s="4"/>
      <x:c r="B71" s="9"/>
      <x:c r="C71" s="9"/>
      <x:c r="D71" s="9"/>
      <x:c r="E71" s="9"/>
      <x:c r="F71" s="9"/>
      <x:c r="G71" s="9"/>
      <x:c r="H71" s="9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9"/>
      <x:c r="T71" s="9"/>
      <x:c r="U71" s="9"/>
      <x:c r="V71" s="9"/>
      <x:c r="W71" s="16" t="str">
        <x:f t="shared" si="1">IF(COUNTA(A71:V71)=0,"",N(M71)/2+N(N71)/3+N(O71)+N(P71)*1.5+N(Q71)/5+N(R71)*2-N(I71)-N(K71)*0.5-N(L71))</x:f>
      </x:c>
      <x:c r="X71" s="5"/>
    </x:row>
    <x:row r="72">
      <x:c r="A72" s="4"/>
      <x:c r="B72" s="9"/>
      <x:c r="C72" s="9"/>
      <x:c r="D72" s="9"/>
      <x:c r="E72" s="9"/>
      <x:c r="F72" s="9"/>
      <x:c r="G72" s="9"/>
      <x:c r="H72" s="9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9"/>
      <x:c r="T72" s="9"/>
      <x:c r="U72" s="9"/>
      <x:c r="V72" s="9"/>
      <x:c r="W72" s="16" t="str">
        <x:f t="shared" ref="W72:W107" si="2">IF(COUNTA(A72:V72)=0,"",N(M72)/2+N(N72)/3+N(O72)+N(P72)*1.5+N(Q72)/5+N(R72)*2-N(I72)-N(K72)*0.5-N(L72))</x:f>
      </x:c>
      <x:c r="X72" s="5"/>
    </x:row>
    <x:row r="73">
      <x:c r="A73" s="4"/>
      <x:c r="B73" s="9"/>
      <x:c r="C73" s="9"/>
      <x:c r="D73" s="9"/>
      <x:c r="E73" s="9"/>
      <x:c r="F73" s="9"/>
      <x:c r="G73" s="9"/>
      <x:c r="H73" s="9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9"/>
      <x:c r="T73" s="9"/>
      <x:c r="U73" s="9"/>
      <x:c r="V73" s="9"/>
      <x:c r="W73" s="16" t="str">
        <x:f t="shared" si="2">IF(COUNTA(A73:V73)=0,"",N(M73)/2+N(N73)/3+N(O73)+N(P73)*1.5+N(Q73)/5+N(R73)*2-N(I73)-N(K73)*0.5-N(L73))</x:f>
      </x:c>
      <x:c r="X73" s="5"/>
    </x:row>
    <x:row r="74">
      <x:c r="A74" s="4"/>
      <x:c r="B74" s="9"/>
      <x:c r="C74" s="9"/>
      <x:c r="D74" s="9"/>
      <x:c r="E74" s="9"/>
      <x:c r="F74" s="9"/>
      <x:c r="G74" s="9"/>
      <x:c r="H74" s="9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9"/>
      <x:c r="T74" s="9"/>
      <x:c r="U74" s="9"/>
      <x:c r="V74" s="9"/>
      <x:c r="W74" s="16" t="str">
        <x:f t="shared" si="2">IF(COUNTA(A74:V74)=0,"",N(M74)/2+N(N74)/3+N(O74)+N(P74)*1.5+N(Q74)/5+N(R74)*2-N(I74)-N(K74)*0.5-N(L74))</x:f>
      </x:c>
      <x:c r="X74" s="5"/>
    </x:row>
    <x:row r="75">
      <x:c r="A75" s="4"/>
      <x:c r="B75" s="9"/>
      <x:c r="C75" s="9"/>
      <x:c r="D75" s="9"/>
      <x:c r="E75" s="9"/>
      <x:c r="F75" s="9"/>
      <x:c r="G75" s="9"/>
      <x:c r="H75" s="9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9"/>
      <x:c r="T75" s="9"/>
      <x:c r="U75" s="9"/>
      <x:c r="V75" s="9"/>
      <x:c r="W75" s="16" t="str">
        <x:f t="shared" si="2">IF(COUNTA(A75:V75)=0,"",N(M75)/2+N(N75)/3+N(O75)+N(P75)*1.5+N(Q75)/5+N(R75)*2-N(I75)-N(K75)*0.5-N(L75))</x:f>
      </x:c>
      <x:c r="X75" s="5"/>
    </x:row>
    <x:row r="76">
      <x:c r="A76" s="4"/>
      <x:c r="B76" s="9"/>
      <x:c r="C76" s="9"/>
      <x:c r="D76" s="9"/>
      <x:c r="E76" s="9"/>
      <x:c r="F76" s="9"/>
      <x:c r="G76" s="9"/>
      <x:c r="H76" s="9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9"/>
      <x:c r="T76" s="9"/>
      <x:c r="U76" s="9"/>
      <x:c r="V76" s="9"/>
      <x:c r="W76" s="16" t="str">
        <x:f t="shared" si="2">IF(COUNTA(A76:V76)=0,"",N(M76)/2+N(N76)/3+N(O76)+N(P76)*1.5+N(Q76)/5+N(R76)*2-N(I76)-N(K76)*0.5-N(L76))</x:f>
      </x:c>
      <x:c r="X76" s="5"/>
    </x:row>
    <x:row r="77">
      <x:c r="A77" s="4"/>
      <x:c r="B77" s="9"/>
      <x:c r="C77" s="9"/>
      <x:c r="D77" s="9"/>
      <x:c r="E77" s="9"/>
      <x:c r="F77" s="9"/>
      <x:c r="G77" s="9"/>
      <x:c r="H77" s="9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9"/>
      <x:c r="T77" s="9"/>
      <x:c r="U77" s="9"/>
      <x:c r="V77" s="9"/>
      <x:c r="W77" s="16" t="str">
        <x:f t="shared" si="2">IF(COUNTA(A77:V77)=0,"",N(M77)/2+N(N77)/3+N(O77)+N(P77)*1.5+N(Q77)/5+N(R77)*2-N(I77)-N(K77)*0.5-N(L77))</x:f>
      </x:c>
      <x:c r="X77" s="5"/>
    </x:row>
    <x:row r="78">
      <x:c r="A78" s="4"/>
      <x:c r="B78" s="9"/>
      <x:c r="C78" s="9"/>
      <x:c r="D78" s="9"/>
      <x:c r="E78" s="9"/>
      <x:c r="F78" s="9"/>
      <x:c r="G78" s="9"/>
      <x:c r="H78" s="9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9"/>
      <x:c r="T78" s="9"/>
      <x:c r="U78" s="9"/>
      <x:c r="V78" s="9"/>
      <x:c r="W78" s="16" t="str">
        <x:f t="shared" si="2">IF(COUNTA(A78:V78)=0,"",N(M78)/2+N(N78)/3+N(O78)+N(P78)*1.5+N(Q78)/5+N(R78)*2-N(I78)-N(K78)*0.5-N(L78))</x:f>
      </x:c>
      <x:c r="X78" s="5"/>
    </x:row>
    <x:row r="79">
      <x:c r="A79" s="4"/>
      <x:c r="B79" s="9"/>
      <x:c r="C79" s="9"/>
      <x:c r="D79" s="9"/>
      <x:c r="E79" s="9"/>
      <x:c r="F79" s="9"/>
      <x:c r="G79" s="9"/>
      <x:c r="H79" s="9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9"/>
      <x:c r="T79" s="9"/>
      <x:c r="U79" s="9"/>
      <x:c r="V79" s="9"/>
      <x:c r="W79" s="16" t="str">
        <x:f t="shared" si="2">IF(COUNTA(A79:V79)=0,"",N(M79)/2+N(N79)/3+N(O79)+N(P79)*1.5+N(Q79)/5+N(R79)*2-N(I79)-N(K79)*0.5-N(L79))</x:f>
      </x:c>
      <x:c r="X79" s="5"/>
    </x:row>
    <x:row r="80">
      <x:c r="A80" s="4"/>
      <x:c r="B80" s="9"/>
      <x:c r="C80" s="9"/>
      <x:c r="D80" s="9"/>
      <x:c r="E80" s="9"/>
      <x:c r="F80" s="9"/>
      <x:c r="G80" s="9"/>
      <x:c r="H80" s="9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9"/>
      <x:c r="T80" s="9"/>
      <x:c r="U80" s="9"/>
      <x:c r="V80" s="9"/>
      <x:c r="W80" s="16" t="str">
        <x:f t="shared" si="2">IF(COUNTA(A80:V80)=0,"",N(M80)/2+N(N80)/3+N(O80)+N(P80)*1.5+N(Q80)/5+N(R80)*2-N(I80)-N(K80)*0.5-N(L80))</x:f>
      </x:c>
      <x:c r="X80" s="5"/>
    </x:row>
    <x:row r="81">
      <x:c r="A81" s="4"/>
      <x:c r="B81" s="9"/>
      <x:c r="C81" s="9"/>
      <x:c r="D81" s="9"/>
      <x:c r="E81" s="9"/>
      <x:c r="F81" s="9"/>
      <x:c r="G81" s="9"/>
      <x:c r="H81" s="9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9"/>
      <x:c r="T81" s="9"/>
      <x:c r="U81" s="9"/>
      <x:c r="V81" s="9"/>
      <x:c r="W81" s="16" t="str">
        <x:f t="shared" si="2">IF(COUNTA(A81:V81)=0,"",N(M81)/2+N(N81)/3+N(O81)+N(P81)*1.5+N(Q81)/5+N(R81)*2-N(I81)-N(K81)*0.5-N(L81))</x:f>
      </x:c>
      <x:c r="X81" s="5"/>
    </x:row>
    <x:row r="82">
      <x:c r="A82" s="4"/>
      <x:c r="B82" s="9"/>
      <x:c r="C82" s="9"/>
      <x:c r="D82" s="9"/>
      <x:c r="E82" s="9"/>
      <x:c r="F82" s="9"/>
      <x:c r="G82" s="9"/>
      <x:c r="H82" s="9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9"/>
      <x:c r="T82" s="9"/>
      <x:c r="U82" s="9"/>
      <x:c r="V82" s="9"/>
      <x:c r="W82" s="16" t="str">
        <x:f t="shared" si="2">IF(COUNTA(A82:V82)=0,"",N(M82)/2+N(N82)/3+N(O82)+N(P82)*1.5+N(Q82)/5+N(R82)*2-N(I82)-N(K82)*0.5-N(L82))</x:f>
      </x:c>
      <x:c r="X82" s="5"/>
    </x:row>
    <x:row r="83">
      <x:c r="A83" s="4"/>
      <x:c r="B83" s="9"/>
      <x:c r="C83" s="9"/>
      <x:c r="D83" s="9"/>
      <x:c r="E83" s="9"/>
      <x:c r="F83" s="9"/>
      <x:c r="G83" s="9"/>
      <x:c r="H83" s="9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9"/>
      <x:c r="T83" s="9"/>
      <x:c r="U83" s="9"/>
      <x:c r="V83" s="9"/>
      <x:c r="W83" s="16" t="str">
        <x:f t="shared" si="2">IF(COUNTA(A83:V83)=0,"",N(M83)/2+N(N83)/3+N(O83)+N(P83)*1.5+N(Q83)/5+N(R83)*2-N(I83)-N(K83)*0.5-N(L83))</x:f>
      </x:c>
      <x:c r="X83" s="5"/>
    </x:row>
    <x:row r="84">
      <x:c r="A84" s="4"/>
      <x:c r="B84" s="9"/>
      <x:c r="C84" s="9"/>
      <x:c r="D84" s="9"/>
      <x:c r="E84" s="9"/>
      <x:c r="F84" s="9"/>
      <x:c r="G84" s="9"/>
      <x:c r="H84" s="9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9"/>
      <x:c r="T84" s="9"/>
      <x:c r="U84" s="9"/>
      <x:c r="V84" s="9"/>
      <x:c r="W84" s="16" t="str">
        <x:f t="shared" si="2">IF(COUNTA(A84:V84)=0,"",N(M84)/2+N(N84)/3+N(O84)+N(P84)*1.5+N(Q84)/5+N(R84)*2-N(I84)-N(K84)*0.5-N(L84))</x:f>
      </x:c>
      <x:c r="X84" s="5"/>
    </x:row>
    <x:row r="85">
      <x:c r="A85" s="4"/>
      <x:c r="B85" s="9"/>
      <x:c r="C85" s="9"/>
      <x:c r="D85" s="9"/>
      <x:c r="E85" s="9"/>
      <x:c r="F85" s="9"/>
      <x:c r="G85" s="9"/>
      <x:c r="H85" s="9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9"/>
      <x:c r="T85" s="9"/>
      <x:c r="U85" s="9"/>
      <x:c r="V85" s="9"/>
      <x:c r="W85" s="16" t="str">
        <x:f t="shared" si="2">IF(COUNTA(A85:V85)=0,"",N(M85)/2+N(N85)/3+N(O85)+N(P85)*1.5+N(Q85)/5+N(R85)*2-N(I85)-N(K85)*0.5-N(L85))</x:f>
      </x:c>
      <x:c r="X85" s="5"/>
    </x:row>
    <x:row r="86">
      <x:c r="A86" s="4"/>
      <x:c r="B86" s="9"/>
      <x:c r="C86" s="9"/>
      <x:c r="D86" s="9"/>
      <x:c r="E86" s="9"/>
      <x:c r="F86" s="9"/>
      <x:c r="G86" s="9"/>
      <x:c r="H86" s="9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9"/>
      <x:c r="T86" s="9"/>
      <x:c r="U86" s="9"/>
      <x:c r="V86" s="9"/>
      <x:c r="W86" s="16" t="str">
        <x:f t="shared" si="2">IF(COUNTA(A86:V86)=0,"",N(M86)/2+N(N86)/3+N(O86)+N(P86)*1.5+N(Q86)/5+N(R86)*2-N(I86)-N(K86)*0.5-N(L86))</x:f>
      </x:c>
      <x:c r="X86" s="5"/>
    </x:row>
    <x:row r="87">
      <x:c r="A87" s="4"/>
      <x:c r="B87" s="9"/>
      <x:c r="C87" s="9"/>
      <x:c r="D87" s="9"/>
      <x:c r="E87" s="9"/>
      <x:c r="F87" s="9"/>
      <x:c r="G87" s="9"/>
      <x:c r="H87" s="9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9"/>
      <x:c r="T87" s="9"/>
      <x:c r="U87" s="9"/>
      <x:c r="V87" s="9"/>
      <x:c r="W87" s="16" t="str">
        <x:f t="shared" si="2">IF(COUNTA(A87:V87)=0,"",N(M87)/2+N(N87)/3+N(O87)+N(P87)*1.5+N(Q87)/5+N(R87)*2-N(I87)-N(K87)*0.5-N(L87))</x:f>
      </x:c>
      <x:c r="X87" s="5"/>
    </x:row>
    <x:row r="88">
      <x:c r="A88" s="4"/>
      <x:c r="B88" s="9"/>
      <x:c r="C88" s="9"/>
      <x:c r="D88" s="9"/>
      <x:c r="E88" s="9"/>
      <x:c r="F88" s="9"/>
      <x:c r="G88" s="9"/>
      <x:c r="H88" s="9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9"/>
      <x:c r="T88" s="9"/>
      <x:c r="U88" s="9"/>
      <x:c r="V88" s="9"/>
      <x:c r="W88" s="16" t="str">
        <x:f t="shared" si="2">IF(COUNTA(A88:V88)=0,"",N(M88)/2+N(N88)/3+N(O88)+N(P88)*1.5+N(Q88)/5+N(R88)*2-N(I88)-N(K88)*0.5-N(L88))</x:f>
      </x:c>
      <x:c r="X88" s="5"/>
    </x:row>
    <x:row r="89">
      <x:c r="A89" s="4"/>
      <x:c r="B89" s="9"/>
      <x:c r="C89" s="9"/>
      <x:c r="D89" s="9"/>
      <x:c r="E89" s="9"/>
      <x:c r="F89" s="9"/>
      <x:c r="G89" s="9"/>
      <x:c r="H89" s="9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9"/>
      <x:c r="T89" s="9"/>
      <x:c r="U89" s="9"/>
      <x:c r="V89" s="9"/>
      <x:c r="W89" s="16" t="str">
        <x:f t="shared" si="2">IF(COUNTA(A89:V89)=0,"",N(M89)/2+N(N89)/3+N(O89)+N(P89)*1.5+N(Q89)/5+N(R89)*2-N(I89)-N(K89)*0.5-N(L89))</x:f>
      </x:c>
      <x:c r="X89" s="5"/>
    </x:row>
    <x:row r="90">
      <x:c r="A90" s="4"/>
      <x:c r="B90" s="9"/>
      <x:c r="C90" s="9"/>
      <x:c r="D90" s="9"/>
      <x:c r="E90" s="9"/>
      <x:c r="F90" s="9"/>
      <x:c r="G90" s="9"/>
      <x:c r="H90" s="9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9"/>
      <x:c r="T90" s="9"/>
      <x:c r="U90" s="9"/>
      <x:c r="V90" s="9"/>
      <x:c r="W90" s="16" t="str">
        <x:f t="shared" si="2">IF(COUNTA(A90:V90)=0,"",N(M90)/2+N(N90)/3+N(O90)+N(P90)*1.5+N(Q90)/5+N(R90)*2-N(I90)-N(K90)*0.5-N(L90))</x:f>
      </x:c>
      <x:c r="X90" s="5"/>
    </x:row>
    <x:row r="91">
      <x:c r="A91" s="4"/>
      <x:c r="B91" s="9"/>
      <x:c r="C91" s="9"/>
      <x:c r="D91" s="9"/>
      <x:c r="E91" s="9"/>
      <x:c r="F91" s="9"/>
      <x:c r="G91" s="9"/>
      <x:c r="H91" s="9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9"/>
      <x:c r="T91" s="9"/>
      <x:c r="U91" s="9"/>
      <x:c r="V91" s="9"/>
      <x:c r="W91" s="16" t="str">
        <x:f t="shared" si="2">IF(COUNTA(A91:V91)=0,"",N(M91)/2+N(N91)/3+N(O91)+N(P91)*1.5+N(Q91)/5+N(R91)*2-N(I91)-N(K91)*0.5-N(L91))</x:f>
      </x:c>
      <x:c r="X91" s="5"/>
    </x:row>
    <x:row r="92">
      <x:c r="A92" s="4"/>
      <x:c r="B92" s="9"/>
      <x:c r="C92" s="9"/>
      <x:c r="D92" s="9"/>
      <x:c r="E92" s="9"/>
      <x:c r="F92" s="9"/>
      <x:c r="G92" s="9"/>
      <x:c r="H92" s="9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9"/>
      <x:c r="T92" s="9"/>
      <x:c r="U92" s="9"/>
      <x:c r="V92" s="9"/>
      <x:c r="W92" s="16" t="str">
        <x:f t="shared" si="2">IF(COUNTA(A92:V92)=0,"",N(M92)/2+N(N92)/3+N(O92)+N(P92)*1.5+N(Q92)/5+N(R92)*2-N(I92)-N(K92)*0.5-N(L92))</x:f>
      </x:c>
      <x:c r="X92" s="5"/>
    </x:row>
    <x:row r="93">
      <x:c r="A93" s="4"/>
      <x:c r="B93" s="9"/>
      <x:c r="C93" s="9"/>
      <x:c r="D93" s="9"/>
      <x:c r="E93" s="9"/>
      <x:c r="F93" s="9"/>
      <x:c r="G93" s="9"/>
      <x:c r="H93" s="9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9"/>
      <x:c r="T93" s="9"/>
      <x:c r="U93" s="9"/>
      <x:c r="V93" s="9"/>
      <x:c r="W93" s="16" t="str">
        <x:f t="shared" si="2">IF(COUNTA(A93:V93)=0,"",N(M93)/2+N(N93)/3+N(O93)+N(P93)*1.5+N(Q93)/5+N(R93)*2-N(I93)-N(K93)*0.5-N(L93))</x:f>
      </x:c>
      <x:c r="X93" s="5"/>
    </x:row>
    <x:row r="94">
      <x:c r="A94" s="4"/>
      <x:c r="B94" s="9"/>
      <x:c r="C94" s="9"/>
      <x:c r="D94" s="9"/>
      <x:c r="E94" s="9"/>
      <x:c r="F94" s="9"/>
      <x:c r="G94" s="9"/>
      <x:c r="H94" s="9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9"/>
      <x:c r="T94" s="9"/>
      <x:c r="U94" s="9"/>
      <x:c r="V94" s="9"/>
      <x:c r="W94" s="16" t="str">
        <x:f t="shared" si="2">IF(COUNTA(A94:V94)=0,"",N(M94)/2+N(N94)/3+N(O94)+N(P94)*1.5+N(Q94)/5+N(R94)*2-N(I94)-N(K94)*0.5-N(L94))</x:f>
      </x:c>
      <x:c r="X94" s="5"/>
    </x:row>
    <x:row r="95">
      <x:c r="A95" s="4"/>
      <x:c r="B95" s="9"/>
      <x:c r="C95" s="9"/>
      <x:c r="D95" s="9"/>
      <x:c r="E95" s="9"/>
      <x:c r="F95" s="9"/>
      <x:c r="G95" s="9"/>
      <x:c r="H95" s="9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9"/>
      <x:c r="T95" s="9"/>
      <x:c r="U95" s="9"/>
      <x:c r="V95" s="9"/>
      <x:c r="W95" s="16" t="str">
        <x:f t="shared" si="2">IF(COUNTA(A95:V95)=0,"",N(M95)/2+N(N95)/3+N(O95)+N(P95)*1.5+N(Q95)/5+N(R95)*2-N(I95)-N(K95)*0.5-N(L95))</x:f>
      </x:c>
      <x:c r="X95" s="5"/>
    </x:row>
    <x:row r="96">
      <x:c r="A96" s="4"/>
      <x:c r="B96" s="9"/>
      <x:c r="C96" s="9"/>
      <x:c r="D96" s="9"/>
      <x:c r="E96" s="9"/>
      <x:c r="F96" s="9"/>
      <x:c r="G96" s="9"/>
      <x:c r="H96" s="9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9"/>
      <x:c r="T96" s="9"/>
      <x:c r="U96" s="9"/>
      <x:c r="V96" s="9"/>
      <x:c r="W96" s="16" t="str">
        <x:f t="shared" si="2">IF(COUNTA(A96:V96)=0,"",N(M96)/2+N(N96)/3+N(O96)+N(P96)*1.5+N(Q96)/5+N(R96)*2-N(I96)-N(K96)*0.5-N(L96))</x:f>
      </x:c>
      <x:c r="X96" s="5"/>
    </x:row>
    <x:row r="97">
      <x:c r="A97" s="4"/>
      <x:c r="B97" s="9"/>
      <x:c r="C97" s="9"/>
      <x:c r="D97" s="9"/>
      <x:c r="E97" s="9"/>
      <x:c r="F97" s="9"/>
      <x:c r="G97" s="9"/>
      <x:c r="H97" s="9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9"/>
      <x:c r="T97" s="9"/>
      <x:c r="U97" s="9"/>
      <x:c r="V97" s="9"/>
      <x:c r="W97" s="16" t="str">
        <x:f t="shared" si="2">IF(COUNTA(A97:V97)=0,"",N(M97)/2+N(N97)/3+N(O97)+N(P97)*1.5+N(Q97)/5+N(R97)*2-N(I97)-N(K97)*0.5-N(L97))</x:f>
      </x:c>
      <x:c r="X97" s="5"/>
    </x:row>
    <x:row r="98">
      <x:c r="A98" s="4"/>
      <x:c r="B98" s="9"/>
      <x:c r="C98" s="9"/>
      <x:c r="D98" s="9"/>
      <x:c r="E98" s="9"/>
      <x:c r="F98" s="9"/>
      <x:c r="G98" s="9"/>
      <x:c r="H98" s="9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9"/>
      <x:c r="T98" s="9"/>
      <x:c r="U98" s="9"/>
      <x:c r="V98" s="9"/>
      <x:c r="W98" s="16" t="str">
        <x:f t="shared" si="2">IF(COUNTA(A98:V98)=0,"",N(M98)/2+N(N98)/3+N(O98)+N(P98)*1.5+N(Q98)/5+N(R98)*2-N(I98)-N(K98)*0.5-N(L98))</x:f>
      </x:c>
      <x:c r="X98" s="5"/>
    </x:row>
    <x:row r="99">
      <x:c r="A99" s="4"/>
      <x:c r="B99" s="9"/>
      <x:c r="C99" s="9"/>
      <x:c r="D99" s="9"/>
      <x:c r="E99" s="9"/>
      <x:c r="F99" s="9"/>
      <x:c r="G99" s="9"/>
      <x:c r="H99" s="9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9"/>
      <x:c r="T99" s="9"/>
      <x:c r="U99" s="9"/>
      <x:c r="V99" s="9"/>
      <x:c r="W99" s="16" t="str">
        <x:f t="shared" si="2">IF(COUNTA(A99:V99)=0,"",N(M99)/2+N(N99)/3+N(O99)+N(P99)*1.5+N(Q99)/5+N(R99)*2-N(I99)-N(K99)*0.5-N(L99))</x:f>
      </x:c>
      <x:c r="X99" s="5"/>
    </x:row>
    <x:row r="100">
      <x:c r="A100" s="4"/>
      <x:c r="B100" s="9"/>
      <x:c r="C100" s="9"/>
      <x:c r="D100" s="9"/>
      <x:c r="E100" s="9"/>
      <x:c r="F100" s="9"/>
      <x:c r="G100" s="9"/>
      <x:c r="H100" s="9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9"/>
      <x:c r="T100" s="9"/>
      <x:c r="U100" s="9"/>
      <x:c r="V100" s="9"/>
      <x:c r="W100" s="16" t="str">
        <x:f t="shared" si="2">IF(COUNTA(A100:V100)=0,"",N(M100)/2+N(N100)/3+N(O100)+N(P100)*1.5+N(Q100)/5+N(R100)*2-N(I100)-N(K100)*0.5-N(L100))</x:f>
      </x:c>
      <x:c r="X100" s="5"/>
    </x:row>
    <x:row r="101">
      <x:c r="A101" s="4"/>
      <x:c r="B101" s="9"/>
      <x:c r="C101" s="9"/>
      <x:c r="D101" s="9"/>
      <x:c r="E101" s="9"/>
      <x:c r="F101" s="9"/>
      <x:c r="G101" s="9"/>
      <x:c r="H101" s="9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9"/>
      <x:c r="T101" s="9"/>
      <x:c r="U101" s="9"/>
      <x:c r="V101" s="9"/>
      <x:c r="W101" s="16" t="str">
        <x:f t="shared" si="2">IF(COUNTA(A101:V101)=0,"",N(M101)/2+N(N101)/3+N(O101)+N(P101)*1.5+N(Q101)/5+N(R101)*2-N(I101)-N(K101)*0.5-N(L101))</x:f>
      </x:c>
      <x:c r="X101" s="5"/>
    </x:row>
    <x:row r="102">
      <x:c r="A102" s="4"/>
      <x:c r="B102" s="9"/>
      <x:c r="C102" s="9"/>
      <x:c r="D102" s="9"/>
      <x:c r="E102" s="9"/>
      <x:c r="F102" s="9"/>
      <x:c r="G102" s="9"/>
      <x:c r="H102" s="9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9"/>
      <x:c r="T102" s="9"/>
      <x:c r="U102" s="9"/>
      <x:c r="V102" s="9"/>
      <x:c r="W102" s="16" t="str">
        <x:f t="shared" si="2">IF(COUNTA(A102:V102)=0,"",N(M102)/2+N(N102)/3+N(O102)+N(P102)*1.5+N(Q102)/5+N(R102)*2-N(I102)-N(K102)*0.5-N(L102))</x:f>
      </x:c>
      <x:c r="X102" s="5"/>
    </x:row>
    <x:row r="103">
      <x:c r="A103" s="4"/>
      <x:c r="B103" s="9"/>
      <x:c r="C103" s="9"/>
      <x:c r="D103" s="9"/>
      <x:c r="E103" s="9"/>
      <x:c r="F103" s="9"/>
      <x:c r="G103" s="9"/>
      <x:c r="H103" s="9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9"/>
      <x:c r="T103" s="9"/>
      <x:c r="U103" s="9"/>
      <x:c r="V103" s="9"/>
      <x:c r="W103" s="16" t="str">
        <x:f t="shared" si="2">IF(COUNTA(A103:V103)=0,"",N(M103)/2+N(N103)/3+N(O103)+N(P103)*1.5+N(Q103)/5+N(R103)*2-N(I103)-N(K103)*0.5-N(L103))</x:f>
      </x:c>
      <x:c r="X103" s="5"/>
    </x:row>
    <x:row r="104">
      <x:c r="A104" s="4"/>
      <x:c r="B104" s="9"/>
      <x:c r="C104" s="9"/>
      <x:c r="D104" s="9"/>
      <x:c r="E104" s="9"/>
      <x:c r="F104" s="9"/>
      <x:c r="G104" s="9"/>
      <x:c r="H104" s="9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9"/>
      <x:c r="T104" s="9"/>
      <x:c r="U104" s="9"/>
      <x:c r="V104" s="9"/>
      <x:c r="W104" s="16" t="str">
        <x:f t="shared" si="2">IF(COUNTA(A104:V104)=0,"",N(M104)/2+N(N104)/3+N(O104)+N(P104)*1.5+N(Q104)/5+N(R104)*2-N(I104)-N(K104)*0.5-N(L104))</x:f>
      </x:c>
      <x:c r="X104" s="5"/>
    </x:row>
    <x:row r="105">
      <x:c r="A105" s="4"/>
      <x:c r="B105" s="9"/>
      <x:c r="C105" s="9"/>
      <x:c r="D105" s="9"/>
      <x:c r="E105" s="9"/>
      <x:c r="F105" s="9"/>
      <x:c r="G105" s="9"/>
      <x:c r="H105" s="9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9"/>
      <x:c r="T105" s="9"/>
      <x:c r="U105" s="9"/>
      <x:c r="V105" s="9"/>
      <x:c r="W105" s="16" t="str">
        <x:f t="shared" si="2">IF(COUNTA(A105:V105)=0,"",N(M105)/2+N(N105)/3+N(O105)+N(P105)*1.5+N(Q105)/5+N(R105)*2-N(I105)-N(K105)*0.5-N(L105))</x:f>
      </x:c>
      <x:c r="X105" s="5"/>
    </x:row>
    <x:row r="106">
      <x:c r="A106" s="4"/>
      <x:c r="B106" s="9"/>
      <x:c r="C106" s="9"/>
      <x:c r="D106" s="9"/>
      <x:c r="E106" s="9"/>
      <x:c r="F106" s="9"/>
      <x:c r="G106" s="9"/>
      <x:c r="H106" s="9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9"/>
      <x:c r="T106" s="9"/>
      <x:c r="U106" s="9"/>
      <x:c r="V106" s="9"/>
      <x:c r="W106" s="16">
        <x:f t="shared" si="2"/>
        <x:v>0</x:v>
      </x:c>
      <x:c r="X106" s="5"/>
    </x:row>
    <x:row r="107">
      <x:c r="A107" s="6"/>
      <x:c r="B107" s="10"/>
      <x:c r="C107" s="10"/>
      <x:c r="D107" s="10"/>
      <x:c r="E107" s="10"/>
      <x:c r="F107" s="10"/>
      <x:c r="G107" s="10"/>
      <x:c r="H107" s="10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0"/>
      <x:c r="T107" s="10"/>
      <x:c r="U107" s="10"/>
      <x:c r="V107" s="10"/>
      <x:c r="W107" s="17">
        <x:f t="shared" si="2"/>
        <x:v>0</x:v>
      </x:c>
      <x:c r="X107" s="7"/>
    </x:row>
  </x:sheetData>
  <x:mergeCells>
    <x:mergeCell ref="A1:X1"/>
    <x:mergeCell ref="A3:X3"/>
  </x:mergeCells>
  <x:dataValidations count="6">
    <x:dataValidation type="list" sqref="C6:C107">
      <x:formula1>"Draft,Review,Ready,Tested,Implemented,Hold"</x:formula1>
    </x:dataValidation>
    <x:dataValidation type="list" sqref="D6:D107">
      <x:formula1>"Food,Resource,Combat,Explore,Build,Craft,Planning,Zombie,EventReward,Other"</x:formula1>
    </x:dataValidation>
    <x:dataValidation type="list" sqref="E6:E107">
      <x:formula1>"Food,Resource,Explore,Combat,Unrestricted,Additive"</x:formula1>
    </x:dataValidation>
    <x:dataValidation type="list" sqref="F6:F107">
      <x:formula1>"Start,Early,Mid,Late,Boss/Test"</x:formula1>
    </x:dataValidation>
    <x:dataValidation type="list" sqref="G6:G107">
      <x:formula1>"Default,Common,Uncommon,Rare,Very Rare"</x:formula1>
    </x:dataValidation>
    <x:dataValidation type="list" sqref="H6:H107">
      <x:formula1>"Starting Deck,Default Refill,Building Craft,Event,Exploration P+$W$6ack,Construction,Debug,Small Food Pack,Small Resource Pack, Small Tools Pack, Small Weapon Pack, Effect Refill,/T+$I$6est"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72ce86151f4c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2" customWidth="1"/>
    <x:col min="2" max="2" width="16" customWidth="1"/>
    <x:col min="3" max="3" width="42" customWidth="1"/>
    <x:col min="4" max="4" width="28" customWidth="1"/>
    <x:col min="5" max="5" width="4" customWidth="1"/>
    <x:col min="6" max="6" width="18" customWidth="1"/>
    <x:col min="7" max="7" width="24" customWidth="1"/>
    <x:col min="8" max="8" width="44" customWidth="1"/>
  </x:cols>
  <x:sheetData>
    <x:row r="1" ht="30" customHeight="1">
      <x:c r="A1" s="28" t="s">
        <x:v>191</x:v>
      </x:c>
      <x:c r="B1" s="28" t="s">
        <x:v>191</x:v>
      </x:c>
      <x:c r="C1" s="28" t="s">
        <x:v>191</x:v>
      </x:c>
      <x:c r="D1" s="28" t="s">
        <x:v>191</x:v>
      </x:c>
      <x:c r="E1" s="28" t="s">
        <x:v>191</x:v>
      </x:c>
      <x:c r="F1" s="28" t="s">
        <x:v>191</x:v>
      </x:c>
      <x:c r="G1" s="28" t="s">
        <x:v>191</x:v>
      </x:c>
      <x:c r="H1" s="28" t="s">
        <x:v>191</x:v>
      </x:c>
    </x:row>
    <x:row r="3" ht="42" customHeight="1">
      <x:c r="A3" s="29" t="s">
        <x:v>192</x:v>
      </x:c>
      <x:c r="B3" s="30" t="s">
        <x:v>192</x:v>
      </x:c>
      <x:c r="C3" s="30" t="s">
        <x:v>192</x:v>
      </x:c>
      <x:c r="D3" s="30" t="s">
        <x:v>192</x:v>
      </x:c>
      <x:c r="E3" s="30" t="s">
        <x:v>192</x:v>
      </x:c>
      <x:c r="F3" s="30" t="s">
        <x:v>192</x:v>
      </x:c>
      <x:c r="G3" s="30" t="s">
        <x:v>192</x:v>
      </x:c>
      <x:c r="H3" s="31" t="s">
        <x:v>192</x:v>
      </x:c>
    </x:row>
    <x:row r="5" ht="15">
      <x:c r="A5" s="18" t="s">
        <x:v>193</x:v>
      </x:c>
      <x:c r="B5" s="18" t="s">
        <x:v>194</x:v>
      </x:c>
      <x:c r="C5" s="18" t="s">
        <x:v>195</x:v>
      </x:c>
      <x:c r="D5" s="18" t="s">
        <x:v>7</x:v>
      </x:c>
      <x:c r="F5" s="18" t="s">
        <x:v>196</x:v>
      </x:c>
      <x:c r="G5" s="18" t="s">
        <x:v>197</x:v>
      </x:c>
      <x:c r="H5" s="18" t="s">
        <x:v>198</x:v>
      </x:c>
    </x:row>
    <x:row r="6" ht="15">
      <x:c r="A6" s="2" t="s">
        <x:v>199</x:v>
      </x:c>
      <x:c r="B6" s="12">
        <x:v>20</x:v>
      </x:c>
      <x:c r="C6" s="8" t="s">
        <x:v>200</x:v>
      </x:c>
      <x:c r="D6" s="3" t="s">
        <x:v>201</x:v>
      </x:c>
      <x:c r="F6" s="2" t="s">
        <x:v>202</x:v>
      </x:c>
      <x:c r="G6" s="8" t="s">
        <x:v>203</x:v>
      </x:c>
      <x:c r="H6" s="3" t="s">
        <x:v>204</x:v>
      </x:c>
    </x:row>
    <x:row r="7" ht="15">
      <x:c r="A7" s="4" t="s">
        <x:v>205</x:v>
      </x:c>
      <x:c r="B7" s="13">
        <x:v>15</x:v>
      </x:c>
      <x:c r="C7" s="9" t="s">
        <x:v>206</x:v>
      </x:c>
      <x:c r="D7" s="5" t="s">
        <x:v>207</x:v>
      </x:c>
      <x:c r="F7" s="4" t="s">
        <x:v>208</x:v>
      </x:c>
      <x:c r="G7" s="27" t="s">
        <x:v>209</x:v>
      </x:c>
      <x:c r="H7" s="5" t="s">
        <x:v>210</x:v>
      </x:c>
    </x:row>
    <x:row r="8" ht="15">
      <x:c r="A8" s="4" t="s">
        <x:v>211</x:v>
      </x:c>
      <x:c r="B8" s="13">
        <x:v>5</x:v>
      </x:c>
      <x:c r="C8" s="9" t="s">
        <x:v>212</x:v>
      </x:c>
      <x:c r="D8" s="5"/>
      <x:c r="F8" s="4" t="s">
        <x:v>213</x:v>
      </x:c>
      <x:c r="G8" s="27" t="s">
        <x:v>214</x:v>
      </x:c>
      <x:c r="H8" s="5" t="s">
        <x:v>215</x:v>
      </x:c>
    </x:row>
    <x:row r="9">
      <x:c r="A9" s="4" t="s">
        <x:v>216</x:v>
      </x:c>
      <x:c r="B9" s="13">
        <x:v>3</x:v>
      </x:c>
      <x:c r="C9" s="9" t="s">
        <x:v>217</x:v>
      </x:c>
      <x:c r="D9" s="5"/>
      <x:c r="F9" s="4" t="s">
        <x:v>218</x:v>
      </x:c>
      <x:c r="G9" s="9" t="s">
        <x:v>219</x:v>
      </x:c>
      <x:c r="H9" s="5" t="s">
        <x:v>220</x:v>
      </x:c>
    </x:row>
    <x:row r="10" ht="28.5">
      <x:c r="A10" s="4" t="s">
        <x:v>221</x:v>
      </x:c>
      <x:c r="B10" s="13" t="s">
        <x:v>222</x:v>
      </x:c>
      <x:c r="C10" s="9" t="s">
        <x:v>223</x:v>
      </x:c>
      <x:c r="D10" s="5" t="s">
        <x:v>224</x:v>
      </x:c>
      <x:c r="F10" s="4" t="s">
        <x:v>225</x:v>
      </x:c>
      <x:c r="G10" s="9" t="s">
        <x:v>226</x:v>
      </x:c>
      <x:c r="H10" s="5" t="s">
        <x:v>227</x:v>
      </x:c>
    </x:row>
    <x:row r="11" ht="43.5">
      <x:c r="A11" s="4" t="s">
        <x:v>228</x:v>
      </x:c>
      <x:c r="B11" s="26" t="s">
        <x:v>229</x:v>
      </x:c>
      <x:c r="C11" s="9" t="s">
        <x:v>230</x:v>
      </x:c>
      <x:c r="D11" s="5" t="s">
        <x:v>231</x:v>
      </x:c>
      <x:c r="F11" s="4" t="s">
        <x:v>75</x:v>
      </x:c>
      <x:c r="G11" s="9" t="s">
        <x:v>232</x:v>
      </x:c>
      <x:c r="H11" s="5" t="s">
        <x:v>233</x:v>
      </x:c>
    </x:row>
    <x:row r="12" ht="28.5">
      <x:c r="A12" s="4" t="s">
        <x:v>234</x:v>
      </x:c>
      <x:c r="B12" s="13">
        <x:v>-2</x:v>
      </x:c>
      <x:c r="C12" s="24" t="s">
        <x:v>235</x:v>
      </x:c>
      <x:c r="D12" s="5"/>
      <x:c r="F12" s="4" t="s">
        <x:v>74</x:v>
      </x:c>
      <x:c r="G12" s="9" t="s">
        <x:v>236</x:v>
      </x:c>
      <x:c r="H12" s="5" t="s">
        <x:v>237</x:v>
      </x:c>
    </x:row>
    <x:row r="13">
      <x:c r="A13" s="4" t="s">
        <x:v>238</x:v>
      </x:c>
      <x:c r="B13" s="13">
        <x:v>2</x:v>
      </x:c>
      <x:c r="C13" s="9" t="s">
        <x:v>239</x:v>
      </x:c>
      <x:c r="D13" s="5"/>
      <x:c r="F13" s="6" t="s">
        <x:v>46</x:v>
      </x:c>
      <x:c r="G13" s="10" t="s">
        <x:v>240</x:v>
      </x:c>
      <x:c r="H13" s="7" t="s">
        <x:v>241</x:v>
      </x:c>
    </x:row>
    <x:row r="14">
      <x:c r="A14" s="4" t="s">
        <x:v>242</x:v>
      </x:c>
      <x:c r="B14" s="13">
        <x:v>-5</x:v>
      </x:c>
      <x:c r="C14" s="9" t="s">
        <x:v>243</x:v>
      </x:c>
      <x:c r="D14" s="5"/>
    </x:row>
    <x:row r="15">
      <x:c r="A15" s="4" t="s">
        <x:v>244</x:v>
      </x:c>
      <x:c r="B15" s="13">
        <x:v>5</x:v>
      </x:c>
      <x:c r="C15" s="9" t="s">
        <x:v>243</x:v>
      </x:c>
      <x:c r="D15" s="5"/>
    </x:row>
    <x:row r="16">
      <x:c r="A16" s="4" t="s">
        <x:v>245</x:v>
      </x:c>
      <x:c r="B16" s="13">
        <x:v>-5</x:v>
      </x:c>
      <x:c r="C16" s="9" t="s">
        <x:v>246</x:v>
      </x:c>
      <x:c r="D16" s="5"/>
    </x:row>
    <x:row r="17">
      <x:c r="A17" s="4" t="s">
        <x:v>247</x:v>
      </x:c>
      <x:c r="B17" s="13">
        <x:v>70</x:v>
      </x:c>
      <x:c r="C17" s="9" t="s">
        <x:v>248</x:v>
      </x:c>
      <x:c r="D17" s="5" t="s">
        <x:v>249</x:v>
      </x:c>
    </x:row>
    <x:row r="18">
      <x:c r="A18" s="4" t="s">
        <x:v>250</x:v>
      </x:c>
      <x:c r="B18" s="13">
        <x:v>100</x:v>
      </x:c>
      <x:c r="C18" s="9" t="s">
        <x:v>251</x:v>
      </x:c>
      <x:c r="D18" s="5"/>
    </x:row>
    <x:row r="19">
      <x:c r="A19" s="6" t="s">
        <x:v>252</x:v>
      </x:c>
      <x:c r="B19" s="14">
        <x:v>-5</x:v>
      </x:c>
      <x:c r="C19" s="10" t="s">
        <x:v>253</x:v>
      </x:c>
      <x:c r="D19" s="7"/>
    </x:row>
  </x:sheetData>
  <x:mergeCells>
    <x:mergeCell ref="A1:H1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3" width="24" customWidth="1"/>
    <x:col min="4" max="4" width="14" customWidth="1"/>
    <x:col min="5" max="5" width="28" customWidth="1"/>
    <x:col min="6" max="6" width="36" customWidth="1"/>
  </x:cols>
  <x:sheetData>
    <x:row r="1" ht="30" customHeight="1">
      <x:c r="A1" s="28" t="s">
        <x:v>254</x:v>
      </x:c>
      <x:c r="B1" s="28" t="s">
        <x:v>254</x:v>
      </x:c>
      <x:c r="C1" s="28" t="s">
        <x:v>254</x:v>
      </x:c>
      <x:c r="D1" s="28" t="s">
        <x:v>254</x:v>
      </x:c>
      <x:c r="E1" s="28" t="s">
        <x:v>254</x:v>
      </x:c>
      <x:c r="F1" s="28" t="s">
        <x:v>254</x:v>
      </x:c>
    </x:row>
    <x:row r="3" ht="42" customHeight="1">
      <x:c r="A3" s="29" t="s">
        <x:v>255</x:v>
      </x:c>
      <x:c r="B3" s="30" t="s">
        <x:v>255</x:v>
      </x:c>
      <x:c r="C3" s="30" t="s">
        <x:v>255</x:v>
      </x:c>
      <x:c r="D3" s="30" t="s">
        <x:v>255</x:v>
      </x:c>
      <x:c r="E3" s="30" t="s">
        <x:v>255</x:v>
      </x:c>
      <x:c r="F3" s="31" t="s">
        <x:v>255</x:v>
      </x:c>
    </x:row>
    <x:row r="5" ht="15">
      <x:c r="A5" s="19" t="s">
        <x:v>256</x:v>
      </x:c>
      <x:c r="B5" s="19" t="s">
        <x:v>257</x:v>
      </x:c>
      <x:c r="C5" s="19" t="s">
        <x:v>258</x:v>
      </x:c>
      <x:c r="D5" s="19" t="s">
        <x:v>259</x:v>
      </x:c>
      <x:c r="E5" s="19" t="s">
        <x:v>260</x:v>
      </x:c>
      <x:c r="F5" s="19" t="s">
        <x:v>7</x:v>
      </x:c>
    </x:row>
    <x:row r="6">
      <x:c r="A6" s="2" t="s">
        <x:v>261</x:v>
      </x:c>
      <x:c r="B6" s="8" t="s">
        <x:v>262</x:v>
      </x:c>
      <x:c r="C6" s="8" t="s">
        <x:v>263</x:v>
      </x:c>
      <x:c r="D6" s="8" t="s">
        <x:v>264</x:v>
      </x:c>
      <x:c r="E6" s="8" t="s">
        <x:v>265</x:v>
      </x:c>
      <x:c r="F6" s="3" t="s">
        <x:v>266</x:v>
      </x:c>
    </x:row>
    <x:row r="7">
      <x:c r="A7" s="4" t="s">
        <x:v>261</x:v>
      </x:c>
      <x:c r="B7" s="9" t="s">
        <x:v>267</x:v>
      </x:c>
      <x:c r="C7" s="9" t="s">
        <x:v>268</x:v>
      </x:c>
      <x:c r="D7" s="9" t="s">
        <x:v>264</x:v>
      </x:c>
      <x:c r="E7" s="9" t="s">
        <x:v>269</x:v>
      </x:c>
      <x:c r="F7" s="5" t="s">
        <x:v>270</x:v>
      </x:c>
    </x:row>
    <x:row r="8">
      <x:c r="A8" s="4" t="s">
        <x:v>261</x:v>
      </x:c>
      <x:c r="B8" s="9" t="s">
        <x:v>271</x:v>
      </x:c>
      <x:c r="C8" s="9" t="s">
        <x:v>272</x:v>
      </x:c>
      <x:c r="D8" s="9" t="s">
        <x:v>264</x:v>
      </x:c>
      <x:c r="E8" s="9" t="s">
        <x:v>273</x:v>
      </x:c>
      <x:c r="F8" s="5" t="s">
        <x:v>274</x:v>
      </x:c>
    </x:row>
    <x:row r="9">
      <x:c r="A9" s="4" t="s">
        <x:v>261</x:v>
      </x:c>
      <x:c r="B9" s="9" t="s">
        <x:v>275</x:v>
      </x:c>
      <x:c r="C9" s="9" t="s">
        <x:v>276</x:v>
      </x:c>
      <x:c r="D9" s="9" t="s">
        <x:v>264</x:v>
      </x:c>
      <x:c r="E9" s="9" t="s">
        <x:v>277</x:v>
      </x:c>
      <x:c r="F9" s="5"/>
    </x:row>
    <x:row r="10">
      <x:c r="A10" s="4" t="s">
        <x:v>261</x:v>
      </x:c>
      <x:c r="B10" s="9" t="s">
        <x:v>278</x:v>
      </x:c>
      <x:c r="C10" s="9" t="s">
        <x:v>279</x:v>
      </x:c>
      <x:c r="D10" s="9" t="s">
        <x:v>264</x:v>
      </x:c>
      <x:c r="E10" s="9" t="s">
        <x:v>280</x:v>
      </x:c>
      <x:c r="F10" s="5"/>
    </x:row>
    <x:row r="11">
      <x:c r="A11" s="4" t="s">
        <x:v>261</x:v>
      </x:c>
      <x:c r="B11" s="9" t="s">
        <x:v>281</x:v>
      </x:c>
      <x:c r="C11" s="9" t="s">
        <x:v>282</x:v>
      </x:c>
      <x:c r="D11" s="9" t="s">
        <x:v>264</x:v>
      </x:c>
      <x:c r="E11" s="9" t="s">
        <x:v>22</x:v>
      </x:c>
      <x:c r="F11" s="5" t="s">
        <x:v>283</x:v>
      </x:c>
    </x:row>
    <x:row r="12">
      <x:c r="A12" s="4" t="s">
        <x:v>261</x:v>
      </x:c>
      <x:c r="B12" s="9" t="s">
        <x:v>284</x:v>
      </x:c>
      <x:c r="C12" s="9" t="s">
        <x:v>285</x:v>
      </x:c>
      <x:c r="D12" s="9" t="s">
        <x:v>264</x:v>
      </x:c>
      <x:c r="E12" s="9" t="s">
        <x:v>286</x:v>
      </x:c>
      <x:c r="F12" s="5"/>
    </x:row>
    <x:row r="13">
      <x:c r="A13" s="4" t="s">
        <x:v>261</x:v>
      </x:c>
      <x:c r="B13" s="9" t="s">
        <x:v>287</x:v>
      </x:c>
      <x:c r="C13" s="9" t="s">
        <x:v>288</x:v>
      </x:c>
      <x:c r="D13" s="9" t="s">
        <x:v>264</x:v>
      </x:c>
      <x:c r="E13" s="9" t="s">
        <x:v>289</x:v>
      </x:c>
      <x:c r="F13" s="5"/>
    </x:row>
    <x:row r="14">
      <x:c r="A14" s="4" t="s">
        <x:v>290</x:v>
      </x:c>
      <x:c r="B14" s="9" t="s">
        <x:v>291</x:v>
      </x:c>
      <x:c r="C14" s="9" t="s">
        <x:v>292</x:v>
      </x:c>
      <x:c r="D14" s="9" t="s">
        <x:v>264</x:v>
      </x:c>
      <x:c r="E14" s="9" t="s">
        <x:v>293</x:v>
      </x:c>
      <x:c r="F14" s="5" t="s">
        <x:v>294</x:v>
      </x:c>
    </x:row>
    <x:row r="15">
      <x:c r="A15" s="4" t="s">
        <x:v>290</x:v>
      </x:c>
      <x:c r="B15" s="9" t="s">
        <x:v>295</x:v>
      </x:c>
      <x:c r="C15" s="9" t="s">
        <x:v>296</x:v>
      </x:c>
      <x:c r="D15" s="9" t="s">
        <x:v>264</x:v>
      </x:c>
      <x:c r="E15" s="9" t="s">
        <x:v>297</x:v>
      </x:c>
      <x:c r="F15" s="5"/>
    </x:row>
    <x:row r="16">
      <x:c r="A16" s="4" t="s">
        <x:v>290</x:v>
      </x:c>
      <x:c r="B16" s="9" t="s">
        <x:v>298</x:v>
      </x:c>
      <x:c r="C16" s="9" t="s">
        <x:v>299</x:v>
      </x:c>
      <x:c r="D16" s="9" t="s">
        <x:v>264</x:v>
      </x:c>
      <x:c r="E16" s="9" t="s">
        <x:v>300</x:v>
      </x:c>
      <x:c r="F16" s="5"/>
    </x:row>
    <x:row r="17">
      <x:c r="A17" s="4" t="s">
        <x:v>301</x:v>
      </x:c>
      <x:c r="B17" s="9" t="s">
        <x:v>302</x:v>
      </x:c>
      <x:c r="C17" s="9" t="s">
        <x:v>303</x:v>
      </x:c>
      <x:c r="D17" s="9" t="s">
        <x:v>264</x:v>
      </x:c>
      <x:c r="E17" s="9" t="s">
        <x:v>28</x:v>
      </x:c>
      <x:c r="F17" s="5" t="s">
        <x:v>304</x:v>
      </x:c>
    </x:row>
    <x:row r="18">
      <x:c r="A18" s="4" t="s">
        <x:v>305</x:v>
      </x:c>
      <x:c r="B18" s="9" t="s">
        <x:v>306</x:v>
      </x:c>
      <x:c r="C18" s="9" t="s">
        <x:v>307</x:v>
      </x:c>
      <x:c r="D18" s="9" t="s">
        <x:v>264</x:v>
      </x:c>
      <x:c r="E18" s="9" t="s">
        <x:v>308</x:v>
      </x:c>
      <x:c r="F18" s="5" t="s">
        <x:v>309</x:v>
      </x:c>
    </x:row>
    <x:row r="19">
      <x:c r="A19" s="4" t="s">
        <x:v>305</x:v>
      </x:c>
      <x:c r="B19" s="9" t="s">
        <x:v>310</x:v>
      </x:c>
      <x:c r="C19" s="9" t="s">
        <x:v>311</x:v>
      </x:c>
      <x:c r="D19" s="9" t="s">
        <x:v>264</x:v>
      </x:c>
      <x:c r="E19" s="9" t="s">
        <x:v>312</x:v>
      </x:c>
      <x:c r="F19" s="5" t="s">
        <x:v>313</x:v>
      </x:c>
    </x:row>
    <x:row r="20">
      <x:c r="A20" s="4" t="s">
        <x:v>314</x:v>
      </x:c>
      <x:c r="B20" s="9" t="s">
        <x:v>315</x:v>
      </x:c>
      <x:c r="C20" s="9" t="s">
        <x:v>316</x:v>
      </x:c>
      <x:c r="D20" s="9" t="s">
        <x:v>317</x:v>
      </x:c>
      <x:c r="E20" s="9" t="s">
        <x:v>318</x:v>
      </x:c>
      <x:c r="F20" s="5" t="s">
        <x:v>319</x:v>
      </x:c>
    </x:row>
    <x:row r="21">
      <x:c r="A21" s="6" t="s">
        <x:v>314</x:v>
      </x:c>
      <x:c r="B21" s="10" t="s">
        <x:v>320</x:v>
      </x:c>
      <x:c r="C21" s="10" t="s">
        <x:v>321</x:v>
      </x:c>
      <x:c r="D21" s="10" t="s">
        <x:v>322</x:v>
      </x:c>
      <x:c r="E21" s="10" t="s">
        <x:v>323</x:v>
      </x:c>
      <x:c r="F21" s="7" t="s">
        <x:v>324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" customWidth="1"/>
    <x:col min="2" max="2" width="16" customWidth="1"/>
    <x:col min="3" max="3" width="28" customWidth="1"/>
    <x:col min="4" max="4" width="14" customWidth="1"/>
    <x:col min="5" max="5" width="18" customWidth="1"/>
    <x:col min="6" max="6" width="30" customWidth="1"/>
    <x:col min="7" max="7" width="28" customWidth="1"/>
    <x:col min="8" max="8" width="32" customWidth="1"/>
  </x:cols>
  <x:sheetData>
    <x:row r="1" ht="30" customHeight="1">
      <x:c r="A1" s="28" t="s">
        <x:v>325</x:v>
      </x:c>
      <x:c r="B1" s="28" t="s">
        <x:v>325</x:v>
      </x:c>
      <x:c r="C1" s="28" t="s">
        <x:v>325</x:v>
      </x:c>
      <x:c r="D1" s="28" t="s">
        <x:v>325</x:v>
      </x:c>
      <x:c r="E1" s="28" t="s">
        <x:v>325</x:v>
      </x:c>
      <x:c r="F1" s="28" t="s">
        <x:v>325</x:v>
      </x:c>
      <x:c r="G1" s="28" t="s">
        <x:v>325</x:v>
      </x:c>
      <x:c r="H1" s="28" t="s">
        <x:v>325</x:v>
      </x:c>
    </x:row>
    <x:row r="3" ht="42" customHeight="1">
      <x:c r="A3" s="29" t="s">
        <x:v>326</x:v>
      </x:c>
      <x:c r="B3" s="30" t="s">
        <x:v>326</x:v>
      </x:c>
      <x:c r="C3" s="30" t="s">
        <x:v>326</x:v>
      </x:c>
      <x:c r="D3" s="30" t="s">
        <x:v>326</x:v>
      </x:c>
      <x:c r="E3" s="30" t="s">
        <x:v>326</x:v>
      </x:c>
      <x:c r="F3" s="30" t="s">
        <x:v>326</x:v>
      </x:c>
      <x:c r="G3" s="30" t="s">
        <x:v>326</x:v>
      </x:c>
      <x:c r="H3" s="31" t="s">
        <x:v>326</x:v>
      </x:c>
    </x:row>
    <x:row r="5" ht="15">
      <x:c r="A5" s="20" t="s">
        <x:v>38</x:v>
      </x:c>
      <x:c r="B5" s="20" t="s">
        <x:v>327</x:v>
      </x:c>
      <x:c r="C5" s="20" t="s">
        <x:v>328</x:v>
      </x:c>
      <x:c r="D5" s="20" t="s">
        <x:v>329</x:v>
      </x:c>
      <x:c r="E5" s="20" t="s">
        <x:v>330</x:v>
      </x:c>
      <x:c r="F5" s="20" t="s">
        <x:v>331</x:v>
      </x:c>
      <x:c r="G5" s="20" t="s">
        <x:v>332</x:v>
      </x:c>
      <x:c r="H5" s="20" t="s">
        <x:v>7</x:v>
      </x:c>
    </x:row>
    <x:row r="6">
      <x:c r="A6" s="2" t="s">
        <x:v>333</x:v>
      </x:c>
      <x:c r="B6" s="8" t="s">
        <x:v>334</x:v>
      </x:c>
      <x:c r="C6" s="8" t="s">
        <x:v>335</x:v>
      </x:c>
      <x:c r="D6" s="8" t="s">
        <x:v>336</x:v>
      </x:c>
      <x:c r="E6" s="8" t="s">
        <x:v>54</x:v>
      </x:c>
      <x:c r="F6" s="8" t="s">
        <x:v>337</x:v>
      </x:c>
      <x:c r="G6" s="8" t="s">
        <x:v>338</x:v>
      </x:c>
      <x:c r="H6" s="3"/>
    </x:row>
    <x:row r="7">
      <x:c r="A7" s="4" t="s">
        <x:v>87</x:v>
      </x:c>
      <x:c r="B7" s="9" t="s">
        <x:v>339</x:v>
      </x:c>
      <x:c r="C7" s="9" t="s">
        <x:v>340</x:v>
      </x:c>
      <x:c r="D7" s="9" t="s">
        <x:v>54</x:v>
      </x:c>
      <x:c r="E7" s="9" t="s">
        <x:v>54</x:v>
      </x:c>
      <x:c r="F7" s="9" t="s">
        <x:v>341</x:v>
      </x:c>
      <x:c r="G7" s="9" t="s">
        <x:v>342</x:v>
      </x:c>
      <x:c r="H7" s="5" t="s">
        <x:v>343</x:v>
      </x:c>
    </x:row>
    <x:row r="8" ht="28.5">
      <x:c r="A8" s="4" t="s">
        <x:v>113</x:v>
      </x:c>
      <x:c r="B8" s="9" t="s">
        <x:v>344</x:v>
      </x:c>
      <x:c r="C8" s="9" t="s">
        <x:v>345</x:v>
      </x:c>
      <x:c r="D8" s="9" t="s">
        <x:v>36</x:v>
      </x:c>
      <x:c r="E8" s="9" t="s">
        <x:v>346</x:v>
      </x:c>
      <x:c r="F8" s="9" t="s">
        <x:v>347</x:v>
      </x:c>
      <x:c r="G8" s="9" t="s">
        <x:v>348</x:v>
      </x:c>
      <x:c r="H8" s="5"/>
    </x:row>
    <x:row r="9" ht="28.5">
      <x:c r="A9" s="4" t="s">
        <x:v>135</x:v>
      </x:c>
      <x:c r="B9" s="9" t="s">
        <x:v>349</x:v>
      </x:c>
      <x:c r="C9" s="9" t="s">
        <x:v>350</x:v>
      </x:c>
      <x:c r="D9" s="9" t="s">
        <x:v>351</x:v>
      </x:c>
      <x:c r="E9" s="9" t="s">
        <x:v>352</x:v>
      </x:c>
      <x:c r="F9" s="9" t="s">
        <x:v>353</x:v>
      </x:c>
      <x:c r="G9" s="9" t="s">
        <x:v>354</x:v>
      </x:c>
      <x:c r="H9" s="5"/>
    </x:row>
    <x:row r="10">
      <x:c r="A10" s="4" t="s">
        <x:v>355</x:v>
      </x:c>
      <x:c r="B10" s="9" t="s">
        <x:v>356</x:v>
      </x:c>
      <x:c r="C10" s="9" t="s">
        <x:v>357</x:v>
      </x:c>
      <x:c r="D10" s="9" t="s">
        <x:v>358</x:v>
      </x:c>
      <x:c r="E10" s="9" t="s">
        <x:v>359</x:v>
      </x:c>
      <x:c r="F10" s="9" t="s">
        <x:v>360</x:v>
      </x:c>
      <x:c r="G10" s="9" t="s">
        <x:v>361</x:v>
      </x:c>
      <x:c r="H10" s="5"/>
    </x:row>
    <x:row r="11">
      <x:c r="A11" s="4" t="s">
        <x:v>362</x:v>
      </x:c>
      <x:c r="B11" s="9" t="s">
        <x:v>363</x:v>
      </x:c>
      <x:c r="C11" s="9" t="s">
        <x:v>364</x:v>
      </x:c>
      <x:c r="D11" s="9" t="s">
        <x:v>365</x:v>
      </x:c>
      <x:c r="E11" s="9" t="s">
        <x:v>366</x:v>
      </x:c>
      <x:c r="F11" s="9" t="s">
        <x:v>367</x:v>
      </x:c>
      <x:c r="G11" s="9" t="s">
        <x:v>368</x:v>
      </x:c>
      <x:c r="H11" s="5" t="s">
        <x:v>369</x:v>
      </x:c>
    </x:row>
    <x:row r="12">
      <x:c r="A12" s="4" t="s">
        <x:v>370</x:v>
      </x:c>
      <x:c r="B12" s="9" t="s">
        <x:v>371</x:v>
      </x:c>
      <x:c r="C12" s="9" t="s">
        <x:v>357</x:v>
      </x:c>
      <x:c r="D12" s="9" t="s">
        <x:v>372</x:v>
      </x:c>
      <x:c r="E12" s="9" t="s">
        <x:v>108</x:v>
      </x:c>
      <x:c r="F12" s="9" t="s">
        <x:v>373</x:v>
      </x:c>
      <x:c r="G12" s="9" t="s">
        <x:v>374</x:v>
      </x:c>
      <x:c r="H12" s="5" t="s">
        <x:v>375</x:v>
      </x:c>
    </x:row>
    <x:row r="13">
      <x:c r="A13" s="4"/>
      <x:c r="B13" s="9"/>
      <x:c r="C13" s="9"/>
      <x:c r="D13" s="9"/>
      <x:c r="E13" s="9"/>
      <x:c r="F13" s="9"/>
      <x:c r="G13" s="9"/>
      <x:c r="H13" s="5"/>
    </x:row>
    <x:row r="14">
      <x:c r="A14" s="4"/>
      <x:c r="B14" s="9"/>
      <x:c r="C14" s="9"/>
      <x:c r="D14" s="9"/>
      <x:c r="E14" s="9"/>
      <x:c r="F14" s="9"/>
      <x:c r="G14" s="9"/>
      <x:c r="H14" s="5"/>
    </x:row>
    <x:row r="15">
      <x:c r="A15" s="6"/>
      <x:c r="B15" s="10"/>
      <x:c r="C15" s="10"/>
      <x:c r="D15" s="10"/>
      <x:c r="E15" s="10"/>
      <x:c r="F15" s="10"/>
      <x:c r="G15" s="10"/>
      <x:c r="H15" s="7"/>
    </x:row>
  </x:sheetData>
  <x:mergeCells>
    <x:mergeCell ref="A1:H1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24" hidden="0" customWidth="1"/>
    <x:col min="8" max="8" width="12" hidden="0" customWidth="1"/>
    <x:col min="9" max="9" width="14" hidden="0" customWidth="1"/>
    <x:col min="10" max="10" width="16" hidden="0" customWidth="1"/>
    <x:col min="11" max="11" width="16" hidden="0" customWidth="1"/>
    <x:col min="12" max="12" width="30" hidden="0" customWidth="1"/>
    <x:col min="13" max="13" width="34" hidden="0" customWidth="1"/>
    <x:col min="14" max="14" width="28" hidden="0" customWidth="1"/>
  </x:cols>
  <x:sheetData>
    <x:row r="1">
      <x:c r="A1" s="84" t="str">
        <x:v>Card Packs - 卡包設計表</x:v>
      </x:c>
      <x:c r="B1" s="84" t="str">
        <x:v>Card Packs - 卡包設計表</x:v>
      </x:c>
      <x:c r="C1" s="84" t="str">
        <x:v>Card Packs - 卡包設計表</x:v>
      </x:c>
      <x:c r="D1" s="84" t="str">
        <x:v>Card Packs - 卡包設計表</x:v>
      </x:c>
      <x:c r="E1" s="84" t="str">
        <x:v>Card Packs - 卡包設計表</x:v>
      </x:c>
      <x:c r="F1" s="84" t="str">
        <x:v>Card Packs - 卡包設計表</x:v>
      </x:c>
      <x:c r="G1" s="84" t="str">
        <x:v>Card Packs - 卡包設計表</x:v>
      </x:c>
      <x:c r="H1" s="84" t="str">
        <x:v>Card Packs - 卡包設計表</x:v>
      </x:c>
      <x:c r="I1" s="84" t="str">
        <x:v>Card Packs - 卡包設計表</x:v>
      </x:c>
      <x:c r="J1" s="84" t="str">
        <x:v>Card Packs - 卡包設計表</x:v>
      </x:c>
      <x:c r="K1" s="84" t="str">
        <x:v>Card Packs - 卡包設計表</x:v>
      </x:c>
      <x:c r="L1" s="84" t="str">
        <x:v>Card Packs - 卡包設計表</x:v>
      </x:c>
      <x:c r="M1" s="84" t="str">
        <x:v>Card Packs - 卡包設計表</x:v>
      </x:c>
      <x:c r="N1" s="84" t="str">
        <x:v>Card Packs - 卡包設計表</x:v>
      </x:c>
    </x:row>
    <x:row r="2">
      <x:c r="A2" s="85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B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C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D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E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F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G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H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I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J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K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L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M2" s="86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N2" s="87" t="str">
        <x:v>填法建議：上半部定義卡包本身，下半部定義卡包內會抽到哪些卡。地區不要直接變成卡包；地區應該指定可能掉落哪些卡包，卡包再用權重抽卡。Pack ID 會連接上下兩張表。</x:v>
      </x:c>
    </x:row>
    <x:row r="3">
      <x:c r="A3" s="88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B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C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D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E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F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G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H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I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J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K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L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M3" s="89" t="str">
        <x:v>填法建議：上半部定義卡包本身，下半部定義卡包內會抽到哪些卡。地區不要直接變成卡包；地區應該指定可能掉落哪些卡包，卡包再用權重抽卡。Pack ID 會連接上下兩張表。</x:v>
      </x:c>
      <x:c r="N3" s="90" t="str">
        <x:v>填法建議：上半部定義卡包本身，下半部定義卡包內會抽到哪些卡。地區不要直接變成卡包；地區應該指定可能掉落哪些卡包，卡包再用權重抽卡。Pack ID 會連接上下兩張表。</x:v>
      </x:c>
    </x:row>
    <x:row r="5" ht="34" customHeight="1">
      <x:c r="A5" s="81" t="str">
        <x:v>Pack ID</x:v>
      </x:c>
      <x:c r="B5" s="81" t="str">
        <x:v>卡包名稱</x:v>
      </x:c>
      <x:c r="C5" s="81" t="str">
        <x:v>狀態</x:v>
      </x:c>
      <x:c r="D5" s="81" t="str">
        <x:v>卡包類型</x:v>
      </x:c>
      <x:c r="E5" s="81" t="str">
        <x:v>階段</x:v>
      </x:c>
      <x:c r="F5" s="81" t="str">
        <x:v>稀有度</x:v>
      </x:c>
      <x:c r="G5" s="81" t="str">
        <x:v>來源/地區</x:v>
      </x:c>
      <x:c r="H5" s="81" t="str">
        <x:v>每包張數</x:v>
      </x:c>
      <x:c r="I5" s="81" t="str">
        <x:v>是否可重複</x:v>
      </x:c>
      <x:c r="J5" s="81" t="str">
        <x:v>正常卡去向</x:v>
      </x:c>
      <x:c r="K5" s="81" t="str">
        <x:v>殭屍卡去向</x:v>
      </x:c>
      <x:c r="L5" s="81" t="str">
        <x:v>風險設計</x:v>
      </x:c>
      <x:c r="M5" s="81" t="str">
        <x:v>設計意圖</x:v>
      </x:c>
      <x:c r="N5" s="81" t="str">
        <x:v>備註</x:v>
      </x:c>
    </x:row>
    <x:row r="6" ht="34" customHeight="1">
      <x:c r="A6" s="82" t="str">
        <x:v>PACK-FOOD-S</x:v>
      </x:c>
      <x:c r="B6" s="82" t="str">
        <x:v>小食物卡包</x:v>
      </x:c>
      <x:c r="C6" s="82" t="str">
        <x:v>Draft</x:v>
      </x:c>
      <x:c r="D6" s="82" t="str">
        <x:v>Food</x:v>
      </x:c>
      <x:c r="E6" s="82" t="str">
        <x:v>Early</x:v>
      </x:c>
      <x:c r="F6" s="82" t="str">
        <x:v>Common</x:v>
      </x:c>
      <x:c r="G6" s="82" t="str">
        <x:v>廢棄超市 / 住宅區</x:v>
      </x:c>
      <x:c r="H6" s="82" t="n">
        <x:v>1</x:v>
      </x:c>
      <x:c r="I6" s="82" t="str">
        <x:v>No</x:v>
      </x:c>
      <x:c r="J6" s="82" t="str">
        <x:v>CardInventory</x:v>
      </x:c>
      <x:c r="K6" s="82" t="str">
        <x:v>DiscardPile</x:v>
      </x:c>
      <x:c r="L6" s="82" t="str">
        <x:v>通常不額外加風險，由地區風險決定。</x:v>
      </x:c>
      <x:c r="M6" s="82" t="str">
        <x:v>提供短期食物補給與少量士氣牌。</x:v>
      </x:c>
      <x:c r="N6" s="82" t="str"/>
    </x:row>
    <x:row r="7" ht="34" customHeight="1">
      <x:c r="A7" s="82" t="str">
        <x:v>PACK-RES-S</x:v>
      </x:c>
      <x:c r="B7" s="82" t="str">
        <x:v>小資源卡包</x:v>
      </x:c>
      <x:c r="C7" s="82" t="str">
        <x:v>Draft</x:v>
      </x:c>
      <x:c r="D7" s="82" t="str">
        <x:v>Resource</x:v>
      </x:c>
      <x:c r="E7" s="82" t="str">
        <x:v>Early</x:v>
      </x:c>
      <x:c r="F7" s="82" t="str">
        <x:v>Common</x:v>
      </x:c>
      <x:c r="G7" s="82" t="str">
        <x:v>住宅區 / 加油站 / 倉庫</x:v>
      </x:c>
      <x:c r="H7" s="82" t="n">
        <x:v>1</x:v>
      </x:c>
      <x:c r="I7" s="82" t="str">
        <x:v>No</x:v>
      </x:c>
      <x:c r="J7" s="82" t="str">
        <x:v>CardInventory</x:v>
      </x:c>
      <x:c r="K7" s="82" t="str">
        <x:v>DiscardPile</x:v>
      </x:c>
      <x:c r="L7" s="82" t="str">
        <x:v>通常不額外加風險，由地區風險決定。</x:v>
      </x:c>
      <x:c r="M7" s="82" t="str">
        <x:v>支撐前期建築與製作節奏。</x:v>
      </x:c>
      <x:c r="N7" s="82" t="str"/>
    </x:row>
    <x:row r="8" ht="34" customHeight="1">
      <x:c r="A8" s="82" t="str">
        <x:v>PACK-TOOL-S</x:v>
      </x:c>
      <x:c r="B8" s="82" t="str">
        <x:v>小工具卡包</x:v>
      </x:c>
      <x:c r="C8" s="82" t="str">
        <x:v>Draft</x:v>
      </x:c>
      <x:c r="D8" s="82" t="str">
        <x:v>Tool</x:v>
      </x:c>
      <x:c r="E8" s="82" t="str">
        <x:v>Early</x:v>
      </x:c>
      <x:c r="F8" s="82" t="str">
        <x:v>Common</x:v>
      </x:c>
      <x:c r="G8" s="82" t="str">
        <x:v>加油站 / 學校 / 事件</x:v>
      </x:c>
      <x:c r="H8" s="82" t="n">
        <x:v>1</x:v>
      </x:c>
      <x:c r="I8" s="82" t="str">
        <x:v>No</x:v>
      </x:c>
      <x:c r="J8" s="82" t="str">
        <x:v>CardInventory</x:v>
      </x:c>
      <x:c r="K8" s="82" t="str">
        <x:v>DiscardPile</x:v>
      </x:c>
      <x:c r="L8" s="82" t="str">
        <x:v>工具牌容易改變節奏，需控制掉落。</x:v>
      </x:c>
      <x:c r="M8" s="82" t="str">
        <x:v>提供調度、加費與手牌操作。</x:v>
      </x:c>
      <x:c r="N8" s="82" t="str"/>
    </x:row>
    <x:row r="9" ht="34" customHeight="1">
      <x:c r="A9" s="82" t="str">
        <x:v>PACK-WEAPON-S</x:v>
      </x:c>
      <x:c r="B9" s="82" t="str">
        <x:v>小武器卡包</x:v>
      </x:c>
      <x:c r="C9" s="82" t="str">
        <x:v>Draft</x:v>
      </x:c>
      <x:c r="D9" s="82" t="str">
        <x:v>Weapon</x:v>
      </x:c>
      <x:c r="E9" s="82" t="str">
        <x:v>Early</x:v>
      </x:c>
      <x:c r="F9" s="82" t="str">
        <x:v>Common</x:v>
      </x:c>
      <x:c r="G9" s="82" t="str">
        <x:v>加油站 / 軍事基地</x:v>
      </x:c>
      <x:c r="H9" s="82" t="n">
        <x:v>1</x:v>
      </x:c>
      <x:c r="I9" s="82" t="str">
        <x:v>No</x:v>
      </x:c>
      <x:c r="J9" s="82" t="str">
        <x:v>CardInventory</x:v>
      </x:c>
      <x:c r="K9" s="82" t="str">
        <x:v>DiscardPile</x:v>
      </x:c>
      <x:c r="L9" s="82" t="str">
        <x:v>武器強度直接降低殭屍壓力，稀有卡需少量。</x:v>
      </x:c>
      <x:c r="M9" s="82" t="str">
        <x:v>提供戰鬥力補充。</x:v>
      </x:c>
      <x:c r="N9" s="82" t="str"/>
    </x:row>
    <x:row r="10" ht="34" customHeight="1">
      <x:c r="A10" s="82" t="str">
        <x:v>PACK-MIX-S</x:v>
      </x:c>
      <x:c r="B10" s="82" t="str">
        <x:v>混合生存卡包</x:v>
      </x:c>
      <x:c r="C10" s="82" t="str">
        <x:v>Draft</x:v>
      </x:c>
      <x:c r="D10" s="82" t="str">
        <x:v>Mixed</x:v>
      </x:c>
      <x:c r="E10" s="82" t="str">
        <x:v>Early</x:v>
      </x:c>
      <x:c r="F10" s="82" t="str">
        <x:v>Common</x:v>
      </x:c>
      <x:c r="G10" s="82" t="str">
        <x:v>廢棄超市 / 住宅區 / 加油站</x:v>
      </x:c>
      <x:c r="H10" s="82" t="n">
        <x:v>2</x:v>
      </x:c>
      <x:c r="I10" s="82" t="str">
        <x:v>No</x:v>
      </x:c>
      <x:c r="J10" s="82" t="str">
        <x:v>CardInventory</x:v>
      </x:c>
      <x:c r="K10" s="82" t="str">
        <x:v>DiscardPile</x:v>
      </x:c>
      <x:c r="L10" s="82" t="str">
        <x:v>可混入低量殭屍或傷口作為波動。</x:v>
      </x:c>
      <x:c r="M10" s="82" t="str">
        <x:v>讓探索結果更彈性。</x:v>
      </x:c>
      <x:c r="N10" s="82" t="str"/>
    </x:row>
    <x:row r="11" ht="34" customHeight="1">
      <x:c r="A11" s="82"/>
      <x:c r="B11" s="82"/>
      <x:c r="C11" s="82"/>
      <x:c r="D11" s="82"/>
      <x:c r="E11" s="82"/>
      <x:c r="F11" s="82"/>
      <x:c r="G11" s="82"/>
      <x:c r="H11" s="82"/>
      <x:c r="I11" s="82"/>
      <x:c r="J11" s="82"/>
      <x:c r="K11" s="82"/>
      <x:c r="L11" s="82"/>
      <x:c r="M11" s="82"/>
      <x:c r="N11" s="82"/>
    </x:row>
    <x:row r="12" ht="34" customHeight="1">
      <x:c r="A12" s="83" t="str">
        <x:v>Pack ID</x:v>
      </x:c>
      <x:c r="B12" s="83" t="str">
        <x:v>Entry ID</x:v>
      </x:c>
      <x:c r="C12" s="83" t="str">
        <x:v>卡名</x:v>
      </x:c>
      <x:c r="D12" s="83" t="str">
        <x:v>Card ID</x:v>
      </x:c>
      <x:c r="E12" s="83" t="str">
        <x:v>卡牌類型</x:v>
      </x:c>
      <x:c r="F12" s="83" t="str">
        <x:v>稀有度</x:v>
      </x:c>
      <x:c r="G12" s="83" t="str">
        <x:v>權重</x:v>
      </x:c>
      <x:c r="H12" s="83" t="str">
        <x:v>最小張數</x:v>
      </x:c>
      <x:c r="I12" s="83" t="str">
        <x:v>最大張數</x:v>
      </x:c>
      <x:c r="J12" s="83" t="str">
        <x:v>是否地區限定</x:v>
      </x:c>
      <x:c r="K12" s="83" t="str">
        <x:v>限定地區</x:v>
      </x:c>
      <x:c r="L12" s="83" t="str">
        <x:v>抽到後去向</x:v>
      </x:c>
      <x:c r="M12" s="83" t="str">
        <x:v>設計備註</x:v>
      </x:c>
      <x:c r="N12" s="83" t="str">
        <x:v>測試重點</x:v>
      </x:c>
    </x:row>
    <x:row r="13" ht="34" customHeight="1">
      <x:c r="A13" s="82" t="str">
        <x:v>PACK-FOOD-S</x:v>
      </x:c>
      <x:c r="B13" s="82" t="str">
        <x:v>E001</x:v>
      </x:c>
      <x:c r="C13" s="82" t="str">
        <x:v>零食</x:v>
      </x:c>
      <x:c r="D13" s="82" t="str"/>
      <x:c r="E13" s="82" t="str">
        <x:v>Food</x:v>
      </x:c>
      <x:c r="F13" s="82" t="str">
        <x:v>Common</x:v>
      </x:c>
      <x:c r="G13" s="82" t="n">
        <x:v>45</x:v>
      </x:c>
      <x:c r="H13" s="82" t="n">
        <x:v>0</x:v>
      </x:c>
      <x:c r="I13" s="82" t="n">
        <x:v>1</x:v>
      </x:c>
      <x:c r="J13" s="82" t="str">
        <x:v>No</x:v>
      </x:c>
      <x:c r="K13" s="82" t="str"/>
      <x:c r="L13" s="82" t="str">
        <x:v>CardInventory</x:v>
      </x:c>
      <x:c r="M13" s="82" t="str">
        <x:v>標準食物牌。</x:v>
      </x:c>
      <x:c r="N13" s="82" t="str">
        <x:v>是否足以支撐 10 天短局。</x:v>
      </x:c>
    </x:row>
    <x:row r="14" ht="34" customHeight="1">
      <x:c r="A14" s="82" t="str">
        <x:v>PACK-FOOD-S</x:v>
      </x:c>
      <x:c r="B14" s="82" t="str">
        <x:v>E002</x:v>
      </x:c>
      <x:c r="C14" s="82" t="str">
        <x:v>罐頭</x:v>
      </x:c>
      <x:c r="D14" s="82" t="str"/>
      <x:c r="E14" s="82" t="str">
        <x:v>Food</x:v>
      </x:c>
      <x:c r="F14" s="82" t="str">
        <x:v>Common</x:v>
      </x:c>
      <x:c r="G14" s="82" t="n">
        <x:v>35</x:v>
      </x:c>
      <x:c r="H14" s="82" t="n">
        <x:v>0</x:v>
      </x:c>
      <x:c r="I14" s="82" t="n">
        <x:v>1</x:v>
      </x:c>
      <x:c r="J14" s="82" t="str">
        <x:v>No</x:v>
      </x:c>
      <x:c r="K14" s="82" t="str"/>
      <x:c r="L14" s="82" t="str">
        <x:v>CardInventory</x:v>
      </x:c>
      <x:c r="M14" s="82" t="str">
        <x:v>高使用次數但效率較低。</x:v>
      </x:c>
      <x:c r="N14" s="82" t="str">
        <x:v>是否太穩定。</x:v>
      </x:c>
    </x:row>
    <x:row r="15" ht="34" customHeight="1">
      <x:c r="A15" s="82" t="str">
        <x:v>PACK-FOOD-S</x:v>
      </x:c>
      <x:c r="B15" s="82" t="str">
        <x:v>E003</x:v>
      </x:c>
      <x:c r="C15" s="82" t="str">
        <x:v>飲料</x:v>
      </x:c>
      <x:c r="D15" s="82" t="str"/>
      <x:c r="E15" s="82" t="str">
        <x:v>Food</x:v>
      </x:c>
      <x:c r="F15" s="82" t="str">
        <x:v>Common</x:v>
      </x:c>
      <x:c r="G15" s="82" t="n">
        <x:v>15</x:v>
      </x:c>
      <x:c r="H15" s="82" t="n">
        <x:v>0</x:v>
      </x:c>
      <x:c r="I15" s="82" t="n">
        <x:v>1</x:v>
      </x:c>
      <x:c r="J15" s="82" t="str">
        <x:v>No</x:v>
      </x:c>
      <x:c r="K15" s="82" t="str"/>
      <x:c r="L15" s="82" t="str">
        <x:v>CardInventory</x:v>
      </x:c>
      <x:c r="M15" s="82" t="str">
        <x:v>少量士氣回復。</x:v>
      </x:c>
      <x:c r="N15" s="82" t="str">
        <x:v>士氣是否太容易補回。</x:v>
      </x:c>
    </x:row>
    <x:row r="16" ht="34" customHeight="1">
      <x:c r="A16" s="82" t="str">
        <x:v>PACK-FOOD-S</x:v>
      </x:c>
      <x:c r="B16" s="82" t="str">
        <x:v>E004</x:v>
      </x:c>
      <x:c r="C16" s="82" t="str">
        <x:v>貨架搜刮</x:v>
      </x:c>
      <x:c r="D16" s="82" t="str"/>
      <x:c r="E16" s="82" t="str">
        <x:v>Food</x:v>
      </x:c>
      <x:c r="F16" s="82" t="str">
        <x:v>Rare</x:v>
      </x:c>
      <x:c r="G16" s="82" t="n">
        <x:v>5</x:v>
      </x:c>
      <x:c r="H16" s="82" t="n">
        <x:v>0</x:v>
      </x:c>
      <x:c r="I16" s="82" t="n">
        <x:v>1</x:v>
      </x:c>
      <x:c r="J16" s="82" t="str">
        <x:v>Yes</x:v>
      </x:c>
      <x:c r="K16" s="82" t="str">
        <x:v>超商 / 便利商店</x:v>
      </x:c>
      <x:c r="L16" s="82" t="str">
        <x:v>CardInventory</x:v>
      </x:c>
      <x:c r="M16" s="82" t="str">
        <x:v>地區限定高收益食物。</x:v>
      </x:c>
      <x:c r="N16" s="82" t="str">
        <x:v>爆倉轉士氣後是否太強。</x:v>
      </x:c>
    </x:row>
    <x:row r="17" ht="34" customHeight="1">
      <x:c r="A17" s="82" t="str">
        <x:v>PACK-RES-S</x:v>
      </x:c>
      <x:c r="B17" s="82" t="str">
        <x:v>E005</x:v>
      </x:c>
      <x:c r="C17" s="82" t="str">
        <x:v>可用零件</x:v>
      </x:c>
      <x:c r="D17" s="82" t="str"/>
      <x:c r="E17" s="82" t="str">
        <x:v>Resource</x:v>
      </x:c>
      <x:c r="F17" s="82" t="str">
        <x:v>Common</x:v>
      </x:c>
      <x:c r="G17" s="82" t="n">
        <x:v>55</x:v>
      </x:c>
      <x:c r="H17" s="82" t="n">
        <x:v>0</x:v>
      </x:c>
      <x:c r="I17" s="82" t="n">
        <x:v>1</x:v>
      </x:c>
      <x:c r="J17" s="82" t="str">
        <x:v>No</x:v>
      </x:c>
      <x:c r="K17" s="82" t="str"/>
      <x:c r="L17" s="82" t="str">
        <x:v>CardInventory</x:v>
      </x:c>
      <x:c r="M17" s="82" t="str">
        <x:v>標準資源牌。</x:v>
      </x:c>
      <x:c r="N17" s="82" t="str">
        <x:v>建築進度是否過快。</x:v>
      </x:c>
    </x:row>
    <x:row r="18" ht="34" customHeight="1">
      <x:c r="A18" s="82" t="str">
        <x:v>PACK-RES-S</x:v>
      </x:c>
      <x:c r="B18" s="82" t="str">
        <x:v>E006</x:v>
      </x:c>
      <x:c r="C18" s="82" t="str">
        <x:v>拆除家具</x:v>
      </x:c>
      <x:c r="D18" s="82" t="str"/>
      <x:c r="E18" s="82" t="str">
        <x:v>Resource</x:v>
      </x:c>
      <x:c r="F18" s="82" t="str">
        <x:v>Common</x:v>
      </x:c>
      <x:c r="G18" s="82" t="n">
        <x:v>35</x:v>
      </x:c>
      <x:c r="H18" s="82" t="n">
        <x:v>0</x:v>
      </x:c>
      <x:c r="I18" s="82" t="n">
        <x:v>1</x:v>
      </x:c>
      <x:c r="J18" s="82" t="str">
        <x:v>No</x:v>
      </x:c>
      <x:c r="K18" s="82" t="str"/>
      <x:c r="L18" s="82" t="str">
        <x:v>CardInventory</x:v>
      </x:c>
      <x:c r="M18" s="82" t="str">
        <x:v>單次高收益。</x:v>
      </x:c>
      <x:c r="N18" s="82" t="str">
        <x:v>一次性收益是否太強。</x:v>
      </x:c>
    </x:row>
    <x:row r="19" ht="34" customHeight="1">
      <x:c r="A19" s="82" t="str">
        <x:v>PACK-RES-S</x:v>
      </x:c>
      <x:c r="B19" s="82" t="str">
        <x:v>E007</x:v>
      </x:c>
      <x:c r="C19" s="82" t="str">
        <x:v>上鎖倉庫間</x:v>
      </x:c>
      <x:c r="D19" s="82" t="str"/>
      <x:c r="E19" s="82" t="str">
        <x:v>Resource</x:v>
      </x:c>
      <x:c r="F19" s="82" t="str">
        <x:v>Rare</x:v>
      </x:c>
      <x:c r="G19" s="82" t="n">
        <x:v>10</x:v>
      </x:c>
      <x:c r="H19" s="82" t="n">
        <x:v>0</x:v>
      </x:c>
      <x:c r="I19" s="82" t="n">
        <x:v>1</x:v>
      </x:c>
      <x:c r="J19" s="82" t="str">
        <x:v>Yes</x:v>
      </x:c>
      <x:c r="K19" s="82" t="str">
        <x:v>倉庫</x:v>
      </x:c>
      <x:c r="L19" s="82" t="str">
        <x:v>CardInventory</x:v>
      </x:c>
      <x:c r="M19" s="82" t="str">
        <x:v>高費高收益資源。</x:v>
      </x:c>
      <x:c r="N19" s="82" t="str">
        <x:v>是否需要加費工具支援。</x:v>
      </x:c>
    </x:row>
    <x:row r="20" ht="34" customHeight="1">
      <x:c r="A20" s="82" t="str">
        <x:v>PACK-TOOL-S</x:v>
      </x:c>
      <x:c r="B20" s="82" t="str">
        <x:v>E008</x:v>
      </x:c>
      <x:c r="C20" s="82" t="str">
        <x:v>調度工具</x:v>
      </x:c>
      <x:c r="D20" s="82" t="str"/>
      <x:c r="E20" s="82" t="str">
        <x:v>Other</x:v>
      </x:c>
      <x:c r="F20" s="82" t="str">
        <x:v>Common</x:v>
      </x:c>
      <x:c r="G20" s="82" t="n">
        <x:v>45</x:v>
      </x:c>
      <x:c r="H20" s="82" t="n">
        <x:v>0</x:v>
      </x:c>
      <x:c r="I20" s="82" t="n">
        <x:v>1</x:v>
      </x:c>
      <x:c r="J20" s="82" t="str">
        <x:v>No</x:v>
      </x:c>
      <x:c r="K20" s="82" t="str"/>
      <x:c r="L20" s="82" t="str">
        <x:v>CardInventory</x:v>
      </x:c>
      <x:c r="M20" s="82" t="str">
        <x:v>檢索抽牌堆並放入休憩。</x:v>
      </x:c>
      <x:c r="N20" s="82" t="str">
        <x:v>是否導致過度穩定。</x:v>
      </x:c>
    </x:row>
    <x:row r="21" ht="34" customHeight="1">
      <x:c r="A21" s="82" t="str">
        <x:v>PACK-TOOL-S</x:v>
      </x:c>
      <x:c r="B21" s="82" t="str">
        <x:v>E009</x:v>
      </x:c>
      <x:c r="C21" s="82" t="str">
        <x:v>效率至上</x:v>
      </x:c>
      <x:c r="D21" s="82" t="str"/>
      <x:c r="E21" s="82" t="str">
        <x:v>Other</x:v>
      </x:c>
      <x:c r="F21" s="82" t="str">
        <x:v>Common</x:v>
      </x:c>
      <x:c r="G21" s="82" t="n">
        <x:v>35</x:v>
      </x:c>
      <x:c r="H21" s="82" t="n">
        <x:v>0</x:v>
      </x:c>
      <x:c r="I21" s="82" t="n">
        <x:v>1</x:v>
      </x:c>
      <x:c r="J21" s="82" t="str">
        <x:v>No</x:v>
      </x:c>
      <x:c r="K21" s="82" t="str"/>
      <x:c r="L21" s="82" t="str">
        <x:v>CardInventory</x:v>
      </x:c>
      <x:c r="M21" s="82" t="str">
        <x:v>0 費加 1 能量。</x:v>
      </x:c>
      <x:c r="N21" s="82" t="str">
        <x:v>是否讓高費牌太容易打。</x:v>
      </x:c>
    </x:row>
    <x:row r="22" ht="34" customHeight="1">
      <x:c r="A22" s="82" t="str">
        <x:v>PACK-TOOL-S</x:v>
      </x:c>
      <x:c r="B22" s="82" t="str">
        <x:v>E010</x:v>
      </x:c>
      <x:c r="C22" s="82" t="str">
        <x:v>效率安排</x:v>
      </x:c>
      <x:c r="D22" s="82" t="str"/>
      <x:c r="E22" s="82" t="str">
        <x:v>Other</x:v>
      </x:c>
      <x:c r="F22" s="82" t="str">
        <x:v>Rare</x:v>
      </x:c>
      <x:c r="G22" s="82" t="n">
        <x:v>20</x:v>
      </x:c>
      <x:c r="H22" s="82" t="n">
        <x:v>0</x:v>
      </x:c>
      <x:c r="I22" s="82" t="n">
        <x:v>1</x:v>
      </x:c>
      <x:c r="J22" s="82" t="str">
        <x:v>No</x:v>
      </x:c>
      <x:c r="K22" s="82" t="str"/>
      <x:c r="L22" s="82" t="str">
        <x:v>CardInventory</x:v>
      </x:c>
      <x:c r="M22" s="82" t="str">
        <x:v>降低其他手牌費用。</x:v>
      </x:c>
      <x:c r="N22" s="82" t="str">
        <x:v>是否形成爆發回合。</x:v>
      </x:c>
    </x:row>
    <x:row r="23" ht="34" customHeight="1">
      <x:c r="A23" s="82" t="str">
        <x:v>PACK-WEAPON-S</x:v>
      </x:c>
      <x:c r="B23" s="82" t="str">
        <x:v>E011</x:v>
      </x:c>
      <x:c r="C23" s="82" t="str">
        <x:v>撬棍</x:v>
      </x:c>
      <x:c r="D23" s="82" t="str"/>
      <x:c r="E23" s="82" t="str">
        <x:v>Combat</x:v>
      </x:c>
      <x:c r="F23" s="82" t="str">
        <x:v>Common</x:v>
      </x:c>
      <x:c r="G23" s="82" t="n">
        <x:v>70</x:v>
      </x:c>
      <x:c r="H23" s="82" t="n">
        <x:v>0</x:v>
      </x:c>
      <x:c r="I23" s="82" t="n">
        <x:v>1</x:v>
      </x:c>
      <x:c r="J23" s="82" t="str">
        <x:v>No</x:v>
      </x:c>
      <x:c r="K23" s="82" t="str"/>
      <x:c r="L23" s="82" t="str">
        <x:v>CardInventory</x:v>
      </x:c>
      <x:c r="M23" s="82" t="str">
        <x:v>標準武器。</x:v>
      </x:c>
      <x:c r="N23" s="82" t="str">
        <x:v>殭屍壓力是否下降太多。</x:v>
      </x:c>
    </x:row>
    <x:row r="24" ht="34" customHeight="1">
      <x:c r="A24" s="82" t="str">
        <x:v>PACK-WEAPON-S</x:v>
      </x:c>
      <x:c r="B24" s="82" t="str">
        <x:v>E012</x:v>
      </x:c>
      <x:c r="C24" s="82" t="str">
        <x:v>消防斧</x:v>
      </x:c>
      <x:c r="D24" s="82" t="str"/>
      <x:c r="E24" s="82" t="str">
        <x:v>Combat</x:v>
      </x:c>
      <x:c r="F24" s="82" t="str">
        <x:v>Rare</x:v>
      </x:c>
      <x:c r="G24" s="82" t="n">
        <x:v>30</x:v>
      </x:c>
      <x:c r="H24" s="82" t="n">
        <x:v>0</x:v>
      </x:c>
      <x:c r="I24" s="82" t="n">
        <x:v>1</x:v>
      </x:c>
      <x:c r="J24" s="82" t="str">
        <x:v>No</x:v>
      </x:c>
      <x:c r="K24" s="82" t="str"/>
      <x:c r="L24" s="82" t="str">
        <x:v>CardInventory</x:v>
      </x:c>
      <x:c r="M24" s="82" t="str">
        <x:v>高效率武器。</x:v>
      </x:c>
      <x:c r="N24" s="82" t="str">
        <x:v>稀有武器是否太強。</x:v>
      </x:c>
    </x:row>
    <x:row r="25" ht="34" customHeight="1">
      <x:c r="A25" s="82"/>
      <x:c r="B25" s="82"/>
      <x:c r="C25" s="82"/>
      <x:c r="D25" s="82"/>
      <x:c r="E25" s="82"/>
      <x:c r="F25" s="82"/>
      <x:c r="G25" s="82"/>
      <x:c r="H25" s="82"/>
      <x:c r="I25" s="82"/>
      <x:c r="J25" s="82"/>
      <x:c r="K25" s="82"/>
      <x:c r="L25" s="82"/>
      <x:c r="M25" s="82"/>
      <x:c r="N25" s="82"/>
    </x:row>
    <x:row r="26" ht="34" customHeight="1">
      <x:c r="A26" s="82"/>
      <x:c r="B26" s="82"/>
      <x:c r="C26" s="82"/>
      <x:c r="D26" s="82"/>
      <x:c r="E26" s="82"/>
      <x:c r="F26" s="82"/>
      <x:c r="G26" s="82"/>
      <x:c r="H26" s="82"/>
      <x:c r="I26" s="82"/>
      <x:c r="J26" s="82"/>
      <x:c r="K26" s="82"/>
      <x:c r="L26" s="82"/>
      <x:c r="M26" s="82"/>
      <x:c r="N26" s="82"/>
    </x:row>
    <x:row r="27" ht="34" customHeight="1">
      <x:c r="A27" s="82"/>
      <x:c r="B27" s="82"/>
      <x:c r="C27" s="82"/>
      <x:c r="D27" s="82"/>
      <x:c r="E27" s="82"/>
      <x:c r="F27" s="82"/>
      <x:c r="G27" s="82"/>
      <x:c r="H27" s="82"/>
      <x:c r="I27" s="82"/>
      <x:c r="J27" s="82"/>
      <x:c r="K27" s="82"/>
      <x:c r="L27" s="82"/>
      <x:c r="M27" s="82"/>
      <x:c r="N27" s="82"/>
    </x:row>
    <x:row r="28" ht="34" customHeight="1">
      <x:c r="A28" s="82"/>
      <x:c r="B28" s="82"/>
      <x:c r="C28" s="82"/>
      <x:c r="D28" s="82"/>
      <x:c r="E28" s="82"/>
      <x:c r="F28" s="82"/>
      <x:c r="G28" s="82"/>
      <x:c r="H28" s="82"/>
      <x:c r="I28" s="82"/>
      <x:c r="J28" s="82"/>
      <x:c r="K28" s="82"/>
      <x:c r="L28" s="82"/>
      <x:c r="M28" s="82"/>
      <x:c r="N28" s="82"/>
    </x:row>
    <x:row r="29" ht="34" customHeight="1">
      <x:c r="A29" s="82"/>
      <x:c r="B29" s="82"/>
      <x:c r="C29" s="82"/>
      <x:c r="D29" s="82"/>
      <x:c r="E29" s="82"/>
      <x:c r="F29" s="82"/>
      <x:c r="G29" s="82"/>
      <x:c r="H29" s="82"/>
      <x:c r="I29" s="82"/>
      <x:c r="J29" s="82"/>
      <x:c r="K29" s="82"/>
      <x:c r="L29" s="82"/>
      <x:c r="M29" s="82"/>
      <x:c r="N29" s="82"/>
    </x:row>
    <x:row r="30" ht="34" customHeight="1">
      <x:c r="A30" s="82"/>
      <x:c r="B30" s="82"/>
      <x:c r="C30" s="82"/>
      <x:c r="D30" s="82"/>
      <x:c r="E30" s="82"/>
      <x:c r="F30" s="82"/>
      <x:c r="G30" s="82"/>
      <x:c r="H30" s="82"/>
      <x:c r="I30" s="82"/>
      <x:c r="J30" s="82"/>
      <x:c r="K30" s="82"/>
      <x:c r="L30" s="82"/>
      <x:c r="M30" s="82"/>
      <x:c r="N30" s="82"/>
    </x:row>
    <x:row r="31" ht="34" customHeight="1">
      <x:c r="A31" s="82"/>
      <x:c r="B31" s="82"/>
      <x:c r="C31" s="82"/>
      <x:c r="D31" s="82"/>
      <x:c r="E31" s="82"/>
      <x:c r="F31" s="82"/>
      <x:c r="G31" s="82"/>
      <x:c r="H31" s="82"/>
      <x:c r="I31" s="82"/>
      <x:c r="J31" s="82"/>
      <x:c r="K31" s="82"/>
      <x:c r="L31" s="82"/>
      <x:c r="M31" s="82"/>
      <x:c r="N31" s="82"/>
    </x:row>
    <x:row r="32" ht="34" customHeight="1">
      <x:c r="A32" s="82"/>
      <x:c r="B32" s="82"/>
      <x:c r="C32" s="82"/>
      <x:c r="D32" s="82"/>
      <x:c r="E32" s="82"/>
      <x:c r="F32" s="82"/>
      <x:c r="G32" s="82"/>
      <x:c r="H32" s="82"/>
      <x:c r="I32" s="82"/>
      <x:c r="J32" s="82"/>
      <x:c r="K32" s="82"/>
      <x:c r="L32" s="82"/>
      <x:c r="M32" s="82"/>
      <x:c r="N32" s="82"/>
    </x:row>
    <x:row r="33" ht="34" customHeight="1">
      <x:c r="A33" s="82"/>
      <x:c r="B33" s="82"/>
      <x:c r="C33" s="82"/>
      <x:c r="D33" s="82"/>
      <x:c r="E33" s="82"/>
      <x:c r="F33" s="82"/>
      <x:c r="G33" s="82"/>
      <x:c r="H33" s="82"/>
      <x:c r="I33" s="82"/>
      <x:c r="J33" s="82"/>
      <x:c r="K33" s="82"/>
      <x:c r="L33" s="82"/>
      <x:c r="M33" s="82"/>
      <x:c r="N33" s="82"/>
    </x:row>
    <x:row r="34" ht="34" customHeight="1">
      <x:c r="A34" s="82"/>
      <x:c r="B34" s="82"/>
      <x:c r="C34" s="82"/>
      <x:c r="D34" s="82"/>
      <x:c r="E34" s="82"/>
      <x:c r="F34" s="82"/>
      <x:c r="G34" s="82"/>
      <x:c r="H34" s="82"/>
      <x:c r="I34" s="82"/>
      <x:c r="J34" s="82"/>
      <x:c r="K34" s="82"/>
      <x:c r="L34" s="82"/>
      <x:c r="M34" s="82"/>
      <x:c r="N34" s="82"/>
    </x:row>
    <x:row r="35" ht="34" customHeight="1">
      <x:c r="A35" s="82"/>
      <x:c r="B35" s="82"/>
      <x:c r="C35" s="82"/>
      <x:c r="D35" s="82"/>
      <x:c r="E35" s="82"/>
      <x:c r="F35" s="82"/>
      <x:c r="G35" s="82"/>
      <x:c r="H35" s="82"/>
      <x:c r="I35" s="82"/>
      <x:c r="J35" s="82"/>
      <x:c r="K35" s="82"/>
      <x:c r="L35" s="82"/>
      <x:c r="M35" s="82"/>
      <x:c r="N35" s="82"/>
    </x:row>
    <x:row r="36" ht="34" customHeight="1">
      <x:c r="A36" s="82"/>
      <x:c r="B36" s="82"/>
      <x:c r="C36" s="82"/>
      <x:c r="D36" s="82"/>
      <x:c r="E36" s="82"/>
      <x:c r="F36" s="82"/>
      <x:c r="G36" s="82"/>
      <x:c r="H36" s="82"/>
      <x:c r="I36" s="82"/>
      <x:c r="J36" s="82"/>
      <x:c r="K36" s="82"/>
      <x:c r="L36" s="82"/>
      <x:c r="M36" s="82"/>
      <x:c r="N36" s="82"/>
    </x:row>
    <x:row r="37" ht="34" customHeight="1">
      <x:c r="A37" s="82"/>
      <x:c r="B37" s="82"/>
      <x:c r="C37" s="82"/>
      <x:c r="D37" s="82"/>
      <x:c r="E37" s="82"/>
      <x:c r="F37" s="82"/>
      <x:c r="G37" s="82"/>
      <x:c r="H37" s="82"/>
      <x:c r="I37" s="82"/>
      <x:c r="J37" s="82"/>
      <x:c r="K37" s="82"/>
      <x:c r="L37" s="82"/>
      <x:c r="M37" s="82"/>
      <x:c r="N37" s="82"/>
    </x:row>
    <x:row r="38" ht="34" customHeight="1">
      <x:c r="A38" s="82"/>
      <x:c r="B38" s="82"/>
      <x:c r="C38" s="82"/>
      <x:c r="D38" s="82"/>
      <x:c r="E38" s="82"/>
      <x:c r="F38" s="82"/>
      <x:c r="G38" s="82"/>
      <x:c r="H38" s="82"/>
      <x:c r="I38" s="82"/>
      <x:c r="J38" s="82"/>
      <x:c r="K38" s="82"/>
      <x:c r="L38" s="82"/>
      <x:c r="M38" s="82"/>
      <x:c r="N38" s="82"/>
    </x:row>
    <x:row r="39" ht="34" customHeight="1">
      <x:c r="A39" s="82"/>
      <x:c r="B39" s="82"/>
      <x:c r="C39" s="82"/>
      <x:c r="D39" s="82"/>
      <x:c r="E39" s="82"/>
      <x:c r="F39" s="82"/>
      <x:c r="G39" s="82"/>
      <x:c r="H39" s="82"/>
      <x:c r="I39" s="82"/>
      <x:c r="J39" s="82"/>
      <x:c r="K39" s="82"/>
      <x:c r="L39" s="82"/>
      <x:c r="M39" s="82"/>
      <x:c r="N39" s="82"/>
    </x:row>
    <x:row r="40" ht="34" customHeight="1">
      <x:c r="A40" s="82"/>
      <x:c r="B40" s="82"/>
      <x:c r="C40" s="82"/>
      <x:c r="D40" s="82"/>
      <x:c r="E40" s="82"/>
      <x:c r="F40" s="82"/>
      <x:c r="G40" s="82"/>
      <x:c r="H40" s="82"/>
      <x:c r="I40" s="82"/>
      <x:c r="J40" s="82"/>
      <x:c r="K40" s="82"/>
      <x:c r="L40" s="82"/>
      <x:c r="M40" s="82"/>
      <x:c r="N40" s="82"/>
    </x:row>
    <x:row r="41" ht="34" customHeight="1">
      <x:c r="A41" s="82"/>
      <x:c r="B41" s="82"/>
      <x:c r="C41" s="82"/>
      <x:c r="D41" s="82"/>
      <x:c r="E41" s="82"/>
      <x:c r="F41" s="82"/>
      <x:c r="G41" s="82"/>
      <x:c r="H41" s="82"/>
      <x:c r="I41" s="82"/>
      <x:c r="J41" s="82"/>
      <x:c r="K41" s="82"/>
      <x:c r="L41" s="82"/>
      <x:c r="M41" s="82"/>
      <x:c r="N41" s="82"/>
    </x:row>
    <x:row r="42" ht="34" customHeight="1">
      <x:c r="A42" s="82"/>
      <x:c r="B42" s="82"/>
      <x:c r="C42" s="82"/>
      <x:c r="D42" s="82"/>
      <x:c r="E42" s="82"/>
      <x:c r="F42" s="82"/>
      <x:c r="G42" s="82"/>
      <x:c r="H42" s="82"/>
      <x:c r="I42" s="82"/>
      <x:c r="J42" s="82"/>
      <x:c r="K42" s="82"/>
      <x:c r="L42" s="82"/>
      <x:c r="M42" s="82"/>
      <x:c r="N42" s="82"/>
    </x:row>
    <x:row r="43" ht="34" customHeight="1">
      <x:c r="A43" s="82"/>
      <x:c r="B43" s="82"/>
      <x:c r="C43" s="82"/>
      <x:c r="D43" s="82"/>
      <x:c r="E43" s="82"/>
      <x:c r="F43" s="82"/>
      <x:c r="G43" s="82"/>
      <x:c r="H43" s="82"/>
      <x:c r="I43" s="82"/>
      <x:c r="J43" s="82"/>
      <x:c r="K43" s="82"/>
      <x:c r="L43" s="82"/>
      <x:c r="M43" s="82"/>
      <x:c r="N43" s="82"/>
    </x:row>
    <x:row r="44" ht="34" customHeight="1">
      <x:c r="A44" s="82"/>
      <x:c r="B44" s="82"/>
      <x:c r="C44" s="82"/>
      <x:c r="D44" s="82"/>
      <x:c r="E44" s="82"/>
      <x:c r="F44" s="82"/>
      <x:c r="G44" s="82"/>
      <x:c r="H44" s="82"/>
      <x:c r="I44" s="82"/>
      <x:c r="J44" s="82"/>
      <x:c r="K44" s="82"/>
      <x:c r="L44" s="82"/>
      <x:c r="M44" s="82"/>
      <x:c r="N44" s="82"/>
    </x:row>
    <x:row r="45" ht="34" customHeight="1">
      <x:c r="A45" s="82"/>
      <x:c r="B45" s="82"/>
      <x:c r="C45" s="82"/>
      <x:c r="D45" s="82"/>
      <x:c r="E45" s="82"/>
      <x:c r="F45" s="82"/>
      <x:c r="G45" s="82"/>
      <x:c r="H45" s="82"/>
      <x:c r="I45" s="82"/>
      <x:c r="J45" s="82"/>
      <x:c r="K45" s="82"/>
      <x:c r="L45" s="82"/>
      <x:c r="M45" s="82"/>
      <x:c r="N45" s="82"/>
    </x:row>
    <x:row r="46" ht="34" customHeight="1">
      <x:c r="A46" s="82"/>
      <x:c r="B46" s="82"/>
      <x:c r="C46" s="82"/>
      <x:c r="D46" s="82"/>
      <x:c r="E46" s="82"/>
      <x:c r="F46" s="82"/>
      <x:c r="G46" s="82"/>
      <x:c r="H46" s="82"/>
      <x:c r="I46" s="82"/>
      <x:c r="J46" s="82"/>
      <x:c r="K46" s="82"/>
      <x:c r="L46" s="82"/>
      <x:c r="M46" s="82"/>
      <x:c r="N46" s="82"/>
    </x:row>
    <x:row r="47" ht="34" customHeight="1">
      <x:c r="A47" s="82"/>
      <x:c r="B47" s="82"/>
      <x:c r="C47" s="82"/>
      <x:c r="D47" s="82"/>
      <x:c r="E47" s="82"/>
      <x:c r="F47" s="82"/>
      <x:c r="G47" s="82"/>
      <x:c r="H47" s="82"/>
      <x:c r="I47" s="82"/>
      <x:c r="J47" s="82"/>
      <x:c r="K47" s="82"/>
      <x:c r="L47" s="82"/>
      <x:c r="M47" s="82"/>
      <x:c r="N47" s="82"/>
    </x:row>
    <x:row r="48" ht="34" customHeight="1">
      <x:c r="A48" s="82"/>
      <x:c r="B48" s="82"/>
      <x:c r="C48" s="82"/>
      <x:c r="D48" s="82"/>
      <x:c r="E48" s="82"/>
      <x:c r="F48" s="82"/>
      <x:c r="G48" s="82"/>
      <x:c r="H48" s="82"/>
      <x:c r="I48" s="82"/>
      <x:c r="J48" s="82"/>
      <x:c r="K48" s="82"/>
      <x:c r="L48" s="82"/>
      <x:c r="M48" s="82"/>
      <x:c r="N48" s="82"/>
    </x:row>
    <x:row r="49" ht="34" customHeight="1">
      <x:c r="A49" s="82"/>
      <x:c r="B49" s="82"/>
      <x:c r="C49" s="82"/>
      <x:c r="D49" s="82"/>
      <x:c r="E49" s="82"/>
      <x:c r="F49" s="82"/>
      <x:c r="G49" s="82"/>
      <x:c r="H49" s="82"/>
      <x:c r="I49" s="82"/>
      <x:c r="J49" s="82"/>
      <x:c r="K49" s="82"/>
      <x:c r="L49" s="82"/>
      <x:c r="M49" s="82"/>
      <x:c r="N49" s="82"/>
    </x:row>
    <x:row r="50" ht="34" customHeight="1">
      <x:c r="A50" s="82"/>
      <x:c r="B50" s="82"/>
      <x:c r="C50" s="82"/>
      <x:c r="D50" s="82"/>
      <x:c r="E50" s="82"/>
      <x:c r="F50" s="82"/>
      <x:c r="G50" s="82"/>
      <x:c r="H50" s="82"/>
      <x:c r="I50" s="82"/>
      <x:c r="J50" s="82"/>
      <x:c r="K50" s="82"/>
      <x:c r="L50" s="82"/>
      <x:c r="M50" s="82"/>
      <x:c r="N50" s="82"/>
    </x:row>
    <x:row r="51" ht="34" customHeight="1">
      <x:c r="A51" s="82"/>
      <x:c r="B51" s="82"/>
      <x:c r="C51" s="82"/>
      <x:c r="D51" s="82"/>
      <x:c r="E51" s="82"/>
      <x:c r="F51" s="82"/>
      <x:c r="G51" s="82"/>
      <x:c r="H51" s="82"/>
      <x:c r="I51" s="82"/>
      <x:c r="J51" s="82"/>
      <x:c r="K51" s="82"/>
      <x:c r="L51" s="82"/>
      <x:c r="M51" s="82"/>
      <x:c r="N51" s="82"/>
    </x:row>
    <x:row r="52" ht="34" customHeight="1">
      <x:c r="A52" s="82"/>
      <x:c r="B52" s="82"/>
      <x:c r="C52" s="82"/>
      <x:c r="D52" s="82"/>
      <x:c r="E52" s="82"/>
      <x:c r="F52" s="82"/>
      <x:c r="G52" s="82"/>
      <x:c r="H52" s="82"/>
      <x:c r="I52" s="82"/>
      <x:c r="J52" s="82"/>
      <x:c r="K52" s="82"/>
      <x:c r="L52" s="82"/>
      <x:c r="M52" s="82"/>
      <x:c r="N52" s="82"/>
    </x:row>
    <x:row r="53" ht="34" customHeight="1">
      <x:c r="A53" s="82"/>
      <x:c r="B53" s="82"/>
      <x:c r="C53" s="82"/>
      <x:c r="D53" s="82"/>
      <x:c r="E53" s="82"/>
      <x:c r="F53" s="82"/>
      <x:c r="G53" s="82"/>
      <x:c r="H53" s="82"/>
      <x:c r="I53" s="82"/>
      <x:c r="J53" s="82"/>
      <x:c r="K53" s="82"/>
      <x:c r="L53" s="82"/>
      <x:c r="M53" s="82"/>
      <x:c r="N53" s="82"/>
    </x:row>
    <x:row r="54" ht="34" customHeight="1">
      <x:c r="A54" s="82"/>
      <x:c r="B54" s="82"/>
      <x:c r="C54" s="82"/>
      <x:c r="D54" s="82"/>
      <x:c r="E54" s="82"/>
      <x:c r="F54" s="82"/>
      <x:c r="G54" s="82"/>
      <x:c r="H54" s="82"/>
      <x:c r="I54" s="82"/>
      <x:c r="J54" s="82"/>
      <x:c r="K54" s="82"/>
      <x:c r="L54" s="82"/>
      <x:c r="M54" s="82"/>
      <x:c r="N54" s="82"/>
    </x:row>
    <x:row r="55" ht="34" customHeight="1">
      <x:c r="A55" s="82"/>
      <x:c r="B55" s="82"/>
      <x:c r="C55" s="82"/>
      <x:c r="D55" s="82"/>
      <x:c r="E55" s="82"/>
      <x:c r="F55" s="82"/>
      <x:c r="G55" s="82"/>
      <x:c r="H55" s="82"/>
      <x:c r="I55" s="82"/>
      <x:c r="J55" s="82"/>
      <x:c r="K55" s="82"/>
      <x:c r="L55" s="82"/>
      <x:c r="M55" s="82"/>
      <x:c r="N55" s="82"/>
    </x:row>
    <x:row r="56" ht="34" customHeight="1">
      <x:c r="A56" s="82"/>
      <x:c r="B56" s="82"/>
      <x:c r="C56" s="82"/>
      <x:c r="D56" s="82"/>
      <x:c r="E56" s="82"/>
      <x:c r="F56" s="82"/>
      <x:c r="G56" s="82"/>
      <x:c r="H56" s="82"/>
      <x:c r="I56" s="82"/>
      <x:c r="J56" s="82"/>
      <x:c r="K56" s="82"/>
      <x:c r="L56" s="82"/>
      <x:c r="M56" s="82"/>
      <x:c r="N56" s="82"/>
    </x:row>
    <x:row r="57" ht="34" customHeight="1">
      <x:c r="A57" s="82"/>
      <x:c r="B57" s="82"/>
      <x:c r="C57" s="82"/>
      <x:c r="D57" s="82"/>
      <x:c r="E57" s="82"/>
      <x:c r="F57" s="82"/>
      <x:c r="G57" s="82"/>
      <x:c r="H57" s="82"/>
      <x:c r="I57" s="82"/>
      <x:c r="J57" s="82"/>
      <x:c r="K57" s="82"/>
      <x:c r="L57" s="82"/>
      <x:c r="M57" s="82"/>
      <x:c r="N57" s="82"/>
    </x:row>
    <x:row r="58" ht="34" customHeight="1">
      <x:c r="A58" s="82"/>
      <x:c r="B58" s="82"/>
      <x:c r="C58" s="82"/>
      <x:c r="D58" s="82"/>
      <x:c r="E58" s="82"/>
      <x:c r="F58" s="82"/>
      <x:c r="G58" s="82"/>
      <x:c r="H58" s="82"/>
      <x:c r="I58" s="82"/>
      <x:c r="J58" s="82"/>
      <x:c r="K58" s="82"/>
      <x:c r="L58" s="82"/>
      <x:c r="M58" s="82"/>
      <x:c r="N58" s="82"/>
    </x:row>
    <x:row r="59" ht="34" customHeight="1">
      <x:c r="A59" s="82"/>
      <x:c r="B59" s="82"/>
      <x:c r="C59" s="82"/>
      <x:c r="D59" s="82"/>
      <x:c r="E59" s="82"/>
      <x:c r="F59" s="82"/>
      <x:c r="G59" s="82"/>
      <x:c r="H59" s="82"/>
      <x:c r="I59" s="82"/>
      <x:c r="J59" s="82"/>
      <x:c r="K59" s="82"/>
      <x:c r="L59" s="82"/>
      <x:c r="M59" s="82"/>
      <x:c r="N59" s="82"/>
    </x:row>
    <x:row r="60" ht="34" customHeight="1">
      <x:c r="A60" s="82"/>
      <x:c r="B60" s="82"/>
      <x:c r="C60" s="82"/>
      <x:c r="D60" s="82"/>
      <x:c r="E60" s="82"/>
      <x:c r="F60" s="82"/>
      <x:c r="G60" s="82"/>
      <x:c r="H60" s="82"/>
      <x:c r="I60" s="82"/>
      <x:c r="J60" s="82"/>
      <x:c r="K60" s="82"/>
      <x:c r="L60" s="82"/>
      <x:c r="M60" s="82"/>
      <x:c r="N60" s="82"/>
    </x:row>
    <x:row r="61" ht="34" customHeight="1">
      <x:c r="A61" s="82"/>
      <x:c r="B61" s="82"/>
      <x:c r="C61" s="82"/>
      <x:c r="D61" s="82"/>
      <x:c r="E61" s="82"/>
      <x:c r="F61" s="82"/>
      <x:c r="G61" s="82"/>
      <x:c r="H61" s="82"/>
      <x:c r="I61" s="82"/>
      <x:c r="J61" s="82"/>
      <x:c r="K61" s="82"/>
      <x:c r="L61" s="82"/>
      <x:c r="M61" s="82"/>
      <x:c r="N61" s="82"/>
    </x:row>
    <x:row r="62" ht="34" customHeight="1">
      <x:c r="A62" s="82"/>
      <x:c r="B62" s="82"/>
      <x:c r="C62" s="82"/>
      <x:c r="D62" s="82"/>
      <x:c r="E62" s="82"/>
      <x:c r="F62" s="82"/>
      <x:c r="G62" s="82"/>
      <x:c r="H62" s="82"/>
      <x:c r="I62" s="82"/>
      <x:c r="J62" s="82"/>
      <x:c r="K62" s="82"/>
      <x:c r="L62" s="82"/>
      <x:c r="M62" s="82"/>
      <x:c r="N62" s="82"/>
    </x:row>
    <x:row r="63" ht="34" customHeight="1">
      <x:c r="A63" s="82"/>
      <x:c r="B63" s="82"/>
      <x:c r="C63" s="82"/>
      <x:c r="D63" s="82"/>
      <x:c r="E63" s="82"/>
      <x:c r="F63" s="82"/>
      <x:c r="G63" s="82"/>
      <x:c r="H63" s="82"/>
      <x:c r="I63" s="82"/>
      <x:c r="J63" s="82"/>
      <x:c r="K63" s="82"/>
      <x:c r="L63" s="82"/>
      <x:c r="M63" s="82"/>
      <x:c r="N63" s="82"/>
    </x:row>
    <x:row r="64" ht="34" customHeight="1">
      <x:c r="A64" s="82"/>
      <x:c r="B64" s="82"/>
      <x:c r="C64" s="82"/>
      <x:c r="D64" s="82"/>
      <x:c r="E64" s="82"/>
      <x:c r="F64" s="82"/>
      <x:c r="G64" s="82"/>
      <x:c r="H64" s="82"/>
      <x:c r="I64" s="82"/>
      <x:c r="J64" s="82"/>
      <x:c r="K64" s="82"/>
      <x:c r="L64" s="82"/>
      <x:c r="M64" s="82"/>
      <x:c r="N64" s="82"/>
    </x:row>
    <x:row r="65" ht="34" customHeight="1">
      <x:c r="A65" s="82"/>
      <x:c r="B65" s="82"/>
      <x:c r="C65" s="82"/>
      <x:c r="D65" s="82"/>
      <x:c r="E65" s="82"/>
      <x:c r="F65" s="82"/>
      <x:c r="G65" s="82"/>
      <x:c r="H65" s="82"/>
      <x:c r="I65" s="82"/>
      <x:c r="J65" s="82"/>
      <x:c r="K65" s="82"/>
      <x:c r="L65" s="82"/>
      <x:c r="M65" s="82"/>
      <x:c r="N65" s="82"/>
    </x:row>
    <x:row r="66" ht="34" customHeight="1">
      <x:c r="A66" s="82"/>
      <x:c r="B66" s="82"/>
      <x:c r="C66" s="82"/>
      <x:c r="D66" s="82"/>
      <x:c r="E66" s="82"/>
      <x:c r="F66" s="82"/>
      <x:c r="G66" s="82"/>
      <x:c r="H66" s="82"/>
      <x:c r="I66" s="82"/>
      <x:c r="J66" s="82"/>
      <x:c r="K66" s="82"/>
      <x:c r="L66" s="82"/>
      <x:c r="M66" s="82"/>
      <x:c r="N66" s="82"/>
    </x:row>
    <x:row r="67" ht="34" customHeight="1">
      <x:c r="A67" s="82"/>
      <x:c r="B67" s="82"/>
      <x:c r="C67" s="82"/>
      <x:c r="D67" s="82"/>
      <x:c r="E67" s="82"/>
      <x:c r="F67" s="82"/>
      <x:c r="G67" s="82"/>
      <x:c r="H67" s="82"/>
      <x:c r="I67" s="82"/>
      <x:c r="J67" s="82"/>
      <x:c r="K67" s="82"/>
      <x:c r="L67" s="82"/>
      <x:c r="M67" s="82"/>
      <x:c r="N67" s="82"/>
    </x:row>
    <x:row r="68" ht="34" customHeight="1">
      <x:c r="A68" s="82"/>
      <x:c r="B68" s="82"/>
      <x:c r="C68" s="82"/>
      <x:c r="D68" s="82"/>
      <x:c r="E68" s="82"/>
      <x:c r="F68" s="82"/>
      <x:c r="G68" s="82"/>
      <x:c r="H68" s="82"/>
      <x:c r="I68" s="82"/>
      <x:c r="J68" s="82"/>
      <x:c r="K68" s="82"/>
      <x:c r="L68" s="82"/>
      <x:c r="M68" s="82"/>
      <x:c r="N68" s="82"/>
    </x:row>
    <x:row r="69" ht="34" customHeight="1">
      <x:c r="A69" s="82"/>
      <x:c r="B69" s="82"/>
      <x:c r="C69" s="82"/>
      <x:c r="D69" s="82"/>
      <x:c r="E69" s="82"/>
      <x:c r="F69" s="82"/>
      <x:c r="G69" s="82"/>
      <x:c r="H69" s="82"/>
      <x:c r="I69" s="82"/>
      <x:c r="J69" s="82"/>
      <x:c r="K69" s="82"/>
      <x:c r="L69" s="82"/>
      <x:c r="M69" s="82"/>
      <x:c r="N69" s="82"/>
    </x:row>
    <x:row r="70" ht="34" customHeight="1">
      <x:c r="A70" s="82"/>
      <x:c r="B70" s="82"/>
      <x:c r="C70" s="82"/>
      <x:c r="D70" s="82"/>
      <x:c r="E70" s="82"/>
      <x:c r="F70" s="82"/>
      <x:c r="G70" s="82"/>
      <x:c r="H70" s="82"/>
      <x:c r="I70" s="82"/>
      <x:c r="J70" s="82"/>
      <x:c r="K70" s="82"/>
      <x:c r="L70" s="82"/>
      <x:c r="M70" s="82"/>
      <x:c r="N70" s="82"/>
    </x:row>
    <x:row r="71" ht="34" customHeight="1">
      <x:c r="A71" s="82"/>
      <x:c r="B71" s="82"/>
      <x:c r="C71" s="82"/>
      <x:c r="D71" s="82"/>
      <x:c r="E71" s="82"/>
      <x:c r="F71" s="82"/>
      <x:c r="G71" s="82"/>
      <x:c r="H71" s="82"/>
      <x:c r="I71" s="82"/>
      <x:c r="J71" s="82"/>
      <x:c r="K71" s="82"/>
      <x:c r="L71" s="82"/>
      <x:c r="M71" s="82"/>
      <x:c r="N71" s="82"/>
    </x:row>
    <x:row r="72" ht="34" customHeight="1">
      <x:c r="A72" s="82"/>
      <x:c r="B72" s="82"/>
      <x:c r="C72" s="82"/>
      <x:c r="D72" s="82"/>
      <x:c r="E72" s="82"/>
      <x:c r="F72" s="82"/>
      <x:c r="G72" s="82"/>
      <x:c r="H72" s="82"/>
      <x:c r="I72" s="82"/>
      <x:c r="J72" s="82"/>
      <x:c r="K72" s="82"/>
      <x:c r="L72" s="82"/>
      <x:c r="M72" s="82"/>
      <x:c r="N72" s="82"/>
    </x:row>
    <x:row r="73" ht="34" customHeight="1">
      <x:c r="A73" s="82"/>
      <x:c r="B73" s="82"/>
      <x:c r="C73" s="82"/>
      <x:c r="D73" s="82"/>
      <x:c r="E73" s="82"/>
      <x:c r="F73" s="82"/>
      <x:c r="G73" s="82"/>
      <x:c r="H73" s="82"/>
      <x:c r="I73" s="82"/>
      <x:c r="J73" s="82"/>
      <x:c r="K73" s="82"/>
      <x:c r="L73" s="82"/>
      <x:c r="M73" s="82"/>
      <x:c r="N73" s="82"/>
    </x:row>
    <x:row r="74" ht="34" customHeight="1">
      <x:c r="A74" s="82"/>
      <x:c r="B74" s="82"/>
      <x:c r="C74" s="82"/>
      <x:c r="D74" s="82"/>
      <x:c r="E74" s="82"/>
      <x:c r="F74" s="82"/>
      <x:c r="G74" s="82"/>
      <x:c r="H74" s="82"/>
      <x:c r="I74" s="82"/>
      <x:c r="J74" s="82"/>
      <x:c r="K74" s="82"/>
      <x:c r="L74" s="82"/>
      <x:c r="M74" s="82"/>
      <x:c r="N74" s="82"/>
    </x:row>
    <x:row r="75" ht="34" customHeight="1">
      <x:c r="A75" s="82"/>
      <x:c r="B75" s="82"/>
      <x:c r="C75" s="82"/>
      <x:c r="D75" s="82"/>
      <x:c r="E75" s="82"/>
      <x:c r="F75" s="82"/>
      <x:c r="G75" s="82"/>
      <x:c r="H75" s="82"/>
      <x:c r="I75" s="82"/>
      <x:c r="J75" s="82"/>
      <x:c r="K75" s="82"/>
      <x:c r="L75" s="82"/>
      <x:c r="M75" s="82"/>
      <x:c r="N75" s="82"/>
    </x:row>
    <x:row r="76" ht="34" customHeight="1">
      <x:c r="A76" s="82"/>
      <x:c r="B76" s="82"/>
      <x:c r="C76" s="82"/>
      <x:c r="D76" s="82"/>
      <x:c r="E76" s="82"/>
      <x:c r="F76" s="82"/>
      <x:c r="G76" s="82"/>
      <x:c r="H76" s="82"/>
      <x:c r="I76" s="82"/>
      <x:c r="J76" s="82"/>
      <x:c r="K76" s="82"/>
      <x:c r="L76" s="82"/>
      <x:c r="M76" s="82"/>
      <x:c r="N76" s="82"/>
    </x:row>
    <x:row r="77" ht="34" customHeight="1">
      <x:c r="A77" s="82"/>
      <x:c r="B77" s="82"/>
      <x:c r="C77" s="82"/>
      <x:c r="D77" s="82"/>
      <x:c r="E77" s="82"/>
      <x:c r="F77" s="82"/>
      <x:c r="G77" s="82"/>
      <x:c r="H77" s="82"/>
      <x:c r="I77" s="82"/>
      <x:c r="J77" s="82"/>
      <x:c r="K77" s="82"/>
      <x:c r="L77" s="82"/>
      <x:c r="M77" s="82"/>
      <x:c r="N77" s="82"/>
    </x:row>
    <x:row r="78" ht="34" customHeight="1">
      <x:c r="A78" s="82"/>
      <x:c r="B78" s="82"/>
      <x:c r="C78" s="82"/>
      <x:c r="D78" s="82"/>
      <x:c r="E78" s="82"/>
      <x:c r="F78" s="82"/>
      <x:c r="G78" s="82"/>
      <x:c r="H78" s="82"/>
      <x:c r="I78" s="82"/>
      <x:c r="J78" s="82"/>
      <x:c r="K78" s="82"/>
      <x:c r="L78" s="82"/>
      <x:c r="M78" s="82"/>
      <x:c r="N78" s="82"/>
    </x:row>
    <x:row r="79" ht="34" customHeight="1">
      <x:c r="A79" s="82"/>
      <x:c r="B79" s="82"/>
      <x:c r="C79" s="82"/>
      <x:c r="D79" s="82"/>
      <x:c r="E79" s="82"/>
      <x:c r="F79" s="82"/>
      <x:c r="G79" s="82"/>
      <x:c r="H79" s="82"/>
      <x:c r="I79" s="82"/>
      <x:c r="J79" s="82"/>
      <x:c r="K79" s="82"/>
      <x:c r="L79" s="82"/>
      <x:c r="M79" s="82"/>
      <x:c r="N79" s="82"/>
    </x:row>
    <x:row r="80" ht="34" customHeight="1">
      <x:c r="A80" s="82"/>
      <x:c r="B80" s="82"/>
      <x:c r="C80" s="82"/>
      <x:c r="D80" s="82"/>
      <x:c r="E80" s="82"/>
      <x:c r="F80" s="82"/>
      <x:c r="G80" s="82"/>
      <x:c r="H80" s="82"/>
      <x:c r="I80" s="82"/>
      <x:c r="J80" s="82"/>
      <x:c r="K80" s="82"/>
      <x:c r="L80" s="82"/>
      <x:c r="M80" s="82"/>
      <x:c r="N80" s="82"/>
    </x:row>
    <x:row r="82">
      <x:c r="A82" s="85" t="str">
        <x:v>卡包公式建議：先依地區掉落表抽出 Pack ID，再依本表 Pack ID 找到候選 Entry，以權重抽取指定張數。若抽到 ZombieCardData，V1 規則是進棄牌堆；其他卡進 CardInventory。</x:v>
      </x:c>
      <x:c r="B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C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D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E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F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G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H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I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J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K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L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M82" s="86" t="str">
        <x:v>卡包公式建議：先依地區掉落表抽出 Pack ID，再依本表 Pack ID 找到候選 Entry，以權重抽取指定張數。若抽到 ZombieCardData，V1 規則是進棄牌堆；其他卡進 CardInventory。</x:v>
      </x:c>
      <x:c r="N82" s="87" t="str">
        <x:v>卡包公式建議：先依地區掉落表抽出 Pack ID，再依本表 Pack ID 找到候選 Entry，以權重抽取指定張數。若抽到 ZombieCardData，V1 規則是進棄牌堆；其他卡進 CardInventory。</x:v>
      </x:c>
    </x:row>
    <x:row r="83">
      <x:c r="A83" s="91" t="str">
        <x:v>卡包公式建議：先依地區掉落表抽出 Pack ID，再依本表 Pack ID 找到候選 Entry，以權重抽取指定張數。若抽到 ZombieCardData，V1 規則是進棄牌堆；其他卡進 CardInventory。</x:v>
      </x:c>
      <x:c r="B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C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D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E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F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G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H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I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J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K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L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M83" s="92" t="str">
        <x:v>卡包公式建議：先依地區掉落表抽出 Pack ID，再依本表 Pack ID 找到候選 Entry，以權重抽取指定張數。若抽到 ZombieCardData，V1 規則是進棄牌堆；其他卡進 CardInventory。</x:v>
      </x:c>
      <x:c r="N83" s="93" t="str">
        <x:v>卡包公式建議：先依地區掉落表抽出 Pack ID，再依本表 Pack ID 找到候選 Entry，以權重抽取指定張數。若抽到 ZombieCardData，V1 規則是進棄牌堆；其他卡進 CardInventory。</x:v>
      </x:c>
    </x:row>
    <x:row r="84">
      <x:c r="A84" s="88" t="str">
        <x:v>卡包公式建議：先依地區掉落表抽出 Pack ID，再依本表 Pack ID 找到候選 Entry，以權重抽取指定張數。若抽到 ZombieCardData，V1 規則是進棄牌堆；其他卡進 CardInventory。</x:v>
      </x:c>
      <x:c r="B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C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D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E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F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G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H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I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J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K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L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M84" s="89" t="str">
        <x:v>卡包公式建議：先依地區掉落表抽出 Pack ID，再依本表 Pack ID 找到候選 Entry，以權重抽取指定張數。若抽到 ZombieCardData，V1 規則是進棄牌堆；其他卡進 CardInventory。</x:v>
      </x:c>
      <x:c r="N84" s="90" t="str">
        <x:v>卡包公式建議：先依地區掉落表抽出 Pack ID，再依本表 Pack ID 找到候選 Entry，以權重抽取指定張數。若抽到 ZombieCardData，V1 規則是進棄牌堆；其他卡進 CardInventory。</x:v>
      </x:c>
    </x:row>
  </x:sheetData>
  <x:mergeCells>
    <x:mergeCell ref="A1:N1"/>
    <x:mergeCell ref="A2:N3"/>
    <x:mergeCell ref="A82:N84"/>
  </x:mergeCells>
  <x:dataValidations count="10">
    <x:dataValidation type="list" sqref="C6:C20">
      <x:formula1>"Draft,Review,Ready,Tested,Implemented,Hold"</x:formula1>
    </x:dataValidation>
    <x:dataValidation type="list" sqref="D6:D20">
      <x:formula1>"Food,Resource,Tool,Weapon,Tech,Clue,Mixed,Zombie,Other"</x:formula1>
    </x:dataValidation>
    <x:dataValidation type="list" sqref="E6:E20">
      <x:formula1>"Start,Early,Mid,Late,Boss/Test"</x:formula1>
    </x:dataValidation>
    <x:dataValidation type="list" sqref="F6:F20">
      <x:formula1>"Default,Common,Uncommon,Rare,Very Rare"</x:formula1>
    </x:dataValidation>
    <x:dataValidation type="list" sqref="I6:I20">
      <x:formula1>"Yes,No"</x:formula1>
    </x:dataValidation>
    <x:dataValidation type="list" sqref="J6:K20">
      <x:formula1>"CardInventory,DiscardPile,Exhausted,None"</x:formula1>
    </x:dataValidation>
    <x:dataValidation type="list" sqref="E13:E80">
      <x:formula1>"Food,Resource,Combat,Explore,Build,Craft,Planning,Zombie,Other"</x:formula1>
    </x:dataValidation>
    <x:dataValidation type="list" sqref="F13:F80">
      <x:formula1>"Default,Common,Uncommon,Rare,Very Rare"</x:formula1>
    </x:dataValidation>
    <x:dataValidation type="list" sqref="J13:J80">
      <x:formula1>"Yes,No"</x:formula1>
    </x:dataValidation>
    <x:dataValidation type="list" sqref="L13:L80">
      <x:formula1>"CardInventory,DiscardPile,Exhausted,None"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d4ba1d77a0534058"/>
    <x:tablePart xmlns:r="http://schemas.openxmlformats.org/officeDocument/2006/relationships" r:id="Rd547e12633114685"/>
  </x:tableParts>
</x:worksheet>
</file>